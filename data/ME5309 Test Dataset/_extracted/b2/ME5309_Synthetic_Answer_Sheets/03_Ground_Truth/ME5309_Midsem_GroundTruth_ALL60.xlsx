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rt_Marks" sheetId="2" state="visible" r:id="rId4"/>
    <sheet name="Error_Log" sheetId="3" state="visible" r:id="rId5"/>
    <sheet name="Rubric_ModelAnswer" sheetId="4" state="visible" r:id="rId6"/>
  </sheets>
  <definedNames>
    <definedName function="false" hidden="true" localSheetId="2" name="_xlnm._FilterDatabase" vbProcedure="false">Error_Log!$A$3:$L$397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<sst xmlns="http://schemas.openxmlformats.org/spreadsheetml/2006/main" count="4259" uniqueCount="451">
  <si>
    <t xml:space="preserve">ME 5309 Mid-Semester - synthetic answer sheets: ground-truth marks (all 60 sheets, batches 1-5)</t>
  </si>
  <si>
    <t xml:space="preserve">Total = best three of the four question scores. A struck-out question counts as 0 even if it would have scored higher. Raw = marks for the work on the sheet; Counted = after applying strike-out.</t>
  </si>
  <si>
    <t xml:space="preserve">Sr</t>
  </si>
  <si>
    <t xml:space="preserve">Roll No.</t>
  </si>
  <si>
    <t xml:space="preserve">Name</t>
  </si>
  <si>
    <t xml:space="preserve">Archetype / what was done</t>
  </si>
  <si>
    <t xml:space="preserve">Answer style</t>
  </si>
  <si>
    <t xml:space="preserve">Attempted</t>
  </si>
  <si>
    <t xml:space="preserve">Struck out</t>
  </si>
  <si>
    <t xml:space="preserve">Q1 raw</t>
  </si>
  <si>
    <t xml:space="preserve">Q2 raw</t>
  </si>
  <si>
    <t xml:space="preserve">Q3 raw</t>
  </si>
  <si>
    <t xml:space="preserve">Q4 raw</t>
  </si>
  <si>
    <t xml:space="preserve">Q1 counted</t>
  </si>
  <si>
    <t xml:space="preserve">Q2 counted</t>
  </si>
  <si>
    <t xml:space="preserve">Q3 counted</t>
  </si>
  <si>
    <t xml:space="preserve">Q4 counted</t>
  </si>
  <si>
    <t xml:space="preserve">TOTAL /30 (best 3)</t>
  </si>
  <si>
    <t xml:space="preserve">Errors injected (parts)</t>
  </si>
  <si>
    <t xml:space="preserve">Spelling typos inserted</t>
  </si>
  <si>
    <t xml:space="preserve">Pipeline test focus</t>
  </si>
  <si>
    <t xml:space="preserve">PDF file</t>
  </si>
  <si>
    <t xml:space="preserve">Batch</t>
  </si>
  <si>
    <t xml:space="preserve">Max</t>
  </si>
  <si>
    <t xml:space="preserve">ME25M001</t>
  </si>
  <si>
    <t xml:space="preserve">Aarav Sharma</t>
  </si>
  <si>
    <t xml:space="preserve">Topper: long, fully-derived answers with assumptions and sanity checks; no deliberate errors</t>
  </si>
  <si>
    <t xml:space="preserve">Verbose / long</t>
  </si>
  <si>
    <t xml:space="preserve">Q1, Q2, Q3</t>
  </si>
  <si>
    <t xml:space="preserve">None</t>
  </si>
  <si>
    <t xml:space="preserve">Full-marks baseline with very long answers (no false deductions); Q4 not attempted</t>
  </si>
  <si>
    <t xml:space="preserve">02_Answer_Sheets/ME5309_Midsem_S01_Aarav_Sharma.pdf</t>
  </si>
  <si>
    <t xml:space="preserve">ME25M002</t>
  </si>
  <si>
    <t xml:space="preserve">Diya Nair</t>
  </si>
  <si>
    <t xml:space="preserve">Strong and concise; uses the acceptable approximation in Q2(c); skips Q1; two minor omissions</t>
  </si>
  <si>
    <t xml:space="preserve">Terse / concise</t>
  </si>
  <si>
    <t xml:space="preserve">Q2, Q3, Q4</t>
  </si>
  <si>
    <t xml:space="preserve">Alternative valid method should get full marks (Q2c); missing verification and weak remedy cost half marks</t>
  </si>
  <si>
    <t xml:space="preserve">02_Answer_Sheets/ME5309_Midsem_S02_Diya_Nair.pdf</t>
  </si>
  <si>
    <t xml:space="preserve">ME25M003</t>
  </si>
  <si>
    <t xml:space="preserve">Rohan Mehta</t>
  </si>
  <si>
    <t xml:space="preserve">Average student: several calculation slips and sign/unit mistakes; short answers</t>
  </si>
  <si>
    <t xml:space="preserve">Q1, Q2, Q4</t>
  </si>
  <si>
    <t xml:space="preserve">Error-carried-forward credit (Q1a), unit mismatch (Q2c), many partial marks; Q3 not attempted</t>
  </si>
  <si>
    <t xml:space="preserve">02_Answer_Sheets/ME5309_Midsem_S03_Rohan_Mehta.pdf</t>
  </si>
  <si>
    <t xml:space="preserve">ME25M004</t>
  </si>
  <si>
    <t xml:space="preserve">Ananya Iyer</t>
  </si>
  <si>
    <t xml:space="preserve">Verbose, attempts all four and strikes out Q3 (which would have scored more than Q1)</t>
  </si>
  <si>
    <t xml:space="preserve">Q1, Q2, Q3, Q4</t>
  </si>
  <si>
    <t xml:space="preserve">Q3</t>
  </si>
  <si>
    <t xml:space="preserve">Strike-out must be honoured: Q3 would have scored 6.5 (&gt; Q1 3.5) but is struck out, so counted = Q1+Q2+Q4</t>
  </si>
  <si>
    <t xml:space="preserve">02_Answer_Sheets/ME5309_Midsem_S04_Ananya_Iyer.pdf</t>
  </si>
  <si>
    <t xml:space="preserve">ME25M005</t>
  </si>
  <si>
    <t xml:space="preserve">Karthik Subramanian</t>
  </si>
  <si>
    <t xml:space="preserve">Bare-answer student: many correct final numbers with no formula or substitution</t>
  </si>
  <si>
    <t xml:space="preserve">Q1, Q3, Q4</t>
  </si>
  <si>
    <t xml:space="preserve">Instruction 5: answers without formula/substitution earn no credit even if numerically correct</t>
  </si>
  <si>
    <t xml:space="preserve">02_Answer_Sheets/ME5309_Midsem_S05_Karthik_Subramanian.pdf</t>
  </si>
  <si>
    <t xml:space="preserve">ME25M006</t>
  </si>
  <si>
    <t xml:space="preserve">Meera Krishnan</t>
  </si>
  <si>
    <t xml:space="preserve">Chatty and wordy; attempts all four without striking out (best three must be picked)</t>
  </si>
  <si>
    <t xml:space="preserve">Best-3 selection: Q4 (7.5) is the lowest and must be dropped; chatty filler text should not confuse grading</t>
  </si>
  <si>
    <t xml:space="preserve">02_Answer_Sheets/ME5309_Midsem_S06_Meera_Krishnan.pdf</t>
  </si>
  <si>
    <t xml:space="preserve">ME25M007</t>
  </si>
  <si>
    <t xml:space="preserve">Vikram Patel</t>
  </si>
  <si>
    <t xml:space="preserve">Weak: conceptual misunderstandings in Q2, Q3 and Q4; short answers</t>
  </si>
  <si>
    <t xml:space="preserve">Low-score case with conceptual errors in every question; checks that partial marks are small but non-zero</t>
  </si>
  <si>
    <t xml:space="preserve">02_Answer_Sheets/ME5309_Midsem_S07_Vikram_Patel.pdf</t>
  </si>
  <si>
    <t xml:space="preserve">ME25M008</t>
  </si>
  <si>
    <t xml:space="preserve">Sneha Reddy</t>
  </si>
  <si>
    <t xml:space="preserve">Good but ran out of time: attempted only two questions (Q2 and Q3 blank)</t>
  </si>
  <si>
    <t xml:space="preserve">Q1, Q4</t>
  </si>
  <si>
    <t xml:space="preserve">Only two questions attempted: the third counted question must score 0 (total out of 30 = 17.5)</t>
  </si>
  <si>
    <t xml:space="preserve">02_Answer_Sheets/ME5309_Midsem_S08_Sneha_Reddy.pdf</t>
  </si>
  <si>
    <t xml:space="preserve">ME25M009</t>
  </si>
  <si>
    <t xml:space="preserve">Arjun Das</t>
  </si>
  <si>
    <t xml:space="preserve">Mixed style (some parts long, some one-liners); partial credit in every part attempted</t>
  </si>
  <si>
    <t xml:space="preserve">Mixed (long and short parts)</t>
  </si>
  <si>
    <t xml:space="preserve">Partial marking across almost every part; varied length within one script</t>
  </si>
  <si>
    <t xml:space="preserve">02_Answer_Sheets/ME5309_Midsem_S09_Arjun_Das.pdf</t>
  </si>
  <si>
    <t xml:space="preserve">ME25M010</t>
  </si>
  <si>
    <t xml:space="preserve">Priya Venkatesh</t>
  </si>
  <si>
    <t xml:space="preserve">Near-perfect and verbose; attempts all four (Q3 is the dropped question)</t>
  </si>
  <si>
    <t xml:space="preserve">Best three of four: Q2 (10) + Q4 (10) + Q1 (9.5) = 29.5; Q3 (9.0) dropped</t>
  </si>
  <si>
    <t xml:space="preserve">02_Answer_Sheets/ME5309_Midsem_S10_Priya_Venkatesh.pdf</t>
  </si>
  <si>
    <t xml:space="preserve">ME25M011</t>
  </si>
  <si>
    <t xml:space="preserve">Rahul Gupta</t>
  </si>
  <si>
    <t xml:space="preserve">Careless with units and significant figures; otherwise average</t>
  </si>
  <si>
    <t xml:space="preserve">Instruction 6/7 penalties: missing unit and fewer than 3 significant figures (0.5 each)</t>
  </si>
  <si>
    <t xml:space="preserve">02_Answer_Sheets/ME5309_Midsem_S11_Rahul_Gupta.pdf</t>
  </si>
  <si>
    <t xml:space="preserve">ME25M012</t>
  </si>
  <si>
    <t xml:space="preserve">Ishita Banerjee</t>
  </si>
  <si>
    <t xml:space="preserve">Thoughtful and verbose derivations; correct conclusions with weak justification in a few places</t>
  </si>
  <si>
    <t xml:space="preserve">Right conclusions with wrong reasoning (Q2d) should get partial credit; small arithmetic slip in Q3c</t>
  </si>
  <si>
    <t xml:space="preserve">02_Answer_Sheets/ME5309_Midsem_S12_Ishita_Banerjee.pdf</t>
  </si>
  <si>
    <t xml:space="preserve">ME25M013</t>
  </si>
  <si>
    <t xml:space="preserve">Aditya Verma</t>
  </si>
  <si>
    <t xml:space="preserve">Topper: complete, well-organised answers; at most one tiny slip</t>
  </si>
  <si>
    <t xml:space="preserve">Contains a valid alternative answer (should not be penalised). Style: verbose.</t>
  </si>
  <si>
    <t xml:space="preserve">02_Answer_Sheets/ME5309_Midsem_S13_Aditya_Verma.pdf</t>
  </si>
  <si>
    <t xml:space="preserve">ME25M014</t>
  </si>
  <si>
    <t xml:space="preserve">Kavya Menon</t>
  </si>
  <si>
    <t xml:space="preserve">Strong: mostly correct with a couple of slips</t>
  </si>
  <si>
    <t xml:space="preserve">Style: verbose.</t>
  </si>
  <si>
    <t xml:space="preserve">02_Answer_Sheets/ME5309_Midsem_S14_Kavya_Menon.pdf</t>
  </si>
  <si>
    <t xml:space="preserve">ME25M015</t>
  </si>
  <si>
    <t xml:space="preserve">Siddharth Joshi</t>
  </si>
  <si>
    <t xml:space="preserve">02_Answer_Sheets/ME5309_Midsem_S15_Siddharth_Joshi.pdf</t>
  </si>
  <si>
    <t xml:space="preserve">ME25M016</t>
  </si>
  <si>
    <t xml:space="preserve">Nisha Kulkarni</t>
  </si>
  <si>
    <t xml:space="preserve">Average: several calculation/sign/unit mistakes, partial credit in many parts</t>
  </si>
  <si>
    <t xml:space="preserve">Style: terse.</t>
  </si>
  <si>
    <t xml:space="preserve">02_Answer_Sheets/ME5309_Midsem_S16_Nisha_Kulkarni.pdf</t>
  </si>
  <si>
    <t xml:space="preserve">ME25M017</t>
  </si>
  <si>
    <t xml:space="preserve">Harsh Agarwal</t>
  </si>
  <si>
    <t xml:space="preserve">02_Answer_Sheets/ME5309_Midsem_S17_Harsh_Agarwal.pdf</t>
  </si>
  <si>
    <t xml:space="preserve">ME25M018</t>
  </si>
  <si>
    <t xml:space="preserve">Pooja Bhat</t>
  </si>
  <si>
    <t xml:space="preserve">02_Answer_Sheets/ME5309_Midsem_S18_Pooja_Bhat.pdf</t>
  </si>
  <si>
    <t xml:space="preserve">ME25M019</t>
  </si>
  <si>
    <t xml:space="preserve">Manish Yadav</t>
  </si>
  <si>
    <t xml:space="preserve">Weak: conceptual misunderstandings in most parts</t>
  </si>
  <si>
    <t xml:space="preserve">02_Answer_Sheets/ME5309_Midsem_S19_Manish_Yadav.pdf</t>
  </si>
  <si>
    <t xml:space="preserve">ME25M020</t>
  </si>
  <si>
    <t xml:space="preserve">Lakshmi Narayanan</t>
  </si>
  <si>
    <t xml:space="preserve">02_Answer_Sheets/ME5309_Midsem_S20_Lakshmi_Narayanan.pdf</t>
  </si>
  <si>
    <t xml:space="preserve">ME25M021</t>
  </si>
  <si>
    <t xml:space="preserve">Tanvi Deshmukh</t>
  </si>
  <si>
    <t xml:space="preserve">Minimal-working student: several parts are final answers only (no formula)</t>
  </si>
  <si>
    <t xml:space="preserve">2 part(s) are bare answers (zero credit). Style: terse.</t>
  </si>
  <si>
    <t xml:space="preserve">02_Answer_Sheets/ME5309_Midsem_S21_Tanvi_Deshmukh.pdf</t>
  </si>
  <si>
    <t xml:space="preserve">ME25M022</t>
  </si>
  <si>
    <t xml:space="preserve">Gaurav Singh</t>
  </si>
  <si>
    <t xml:space="preserve">Attempted only two questions (third counted question scores 0)</t>
  </si>
  <si>
    <t xml:space="preserve">Q1, Q3</t>
  </si>
  <si>
    <t xml:space="preserve">Only 2 question(s) attempted: remaining counted slot(s) score 0. Style: verbose.</t>
  </si>
  <si>
    <t xml:space="preserve">02_Answer_Sheets/ME5309_Midsem_S22_Gaurav_Singh.pdf</t>
  </si>
  <si>
    <t xml:space="preserve">ME25M023</t>
  </si>
  <si>
    <t xml:space="preserve">Shreya Pillai</t>
  </si>
  <si>
    <t xml:space="preserve">Attempted all four and struck out one question</t>
  </si>
  <si>
    <t xml:space="preserve">Q2</t>
  </si>
  <si>
    <t xml:space="preserve">Struck-out Q2 (raw 7.0) must not count; counted total 27.0 vs 27.0 if strike ignored. Style: verbose.</t>
  </si>
  <si>
    <t xml:space="preserve">02_Answer_Sheets/ME5309_Midsem_S23_Shreya_Pillai.pdf</t>
  </si>
  <si>
    <t xml:space="preserve">ME25M024</t>
  </si>
  <si>
    <t xml:space="preserve">Nikhil Rao</t>
  </si>
  <si>
    <t xml:space="preserve">Attempted all four, no strike-out (best three must be picked)</t>
  </si>
  <si>
    <t xml:space="preserve">All four attempted: Q4 (7.5) is the lowest and must be dropped. Style: verbose.</t>
  </si>
  <si>
    <t xml:space="preserve">02_Answer_Sheets/ME5309_Midsem_S24_Nikhil_Rao.pdf</t>
  </si>
  <si>
    <t xml:space="preserve">ME25M025</t>
  </si>
  <si>
    <t xml:space="preserve">Ritika Chopra</t>
  </si>
  <si>
    <t xml:space="preserve">02_Answer_Sheets/ME5309_Midsem_S25_Ritika_Chopra.pdf</t>
  </si>
  <si>
    <t xml:space="preserve">ME25M026</t>
  </si>
  <si>
    <t xml:space="preserve">Varun Malhotra</t>
  </si>
  <si>
    <t xml:space="preserve">Contains a valid alternative answer (should not be penalised). Style: terse.</t>
  </si>
  <si>
    <t xml:space="preserve">02_Answer_Sheets/ME5309_Midsem_S26_Varun_Malhotra.pdf</t>
  </si>
  <si>
    <t xml:space="preserve">ME25M027</t>
  </si>
  <si>
    <t xml:space="preserve">Aishwarya Hegde</t>
  </si>
  <si>
    <t xml:space="preserve">02_Answer_Sheets/ME5309_Midsem_S27_Aishwarya_Hegde.pdf</t>
  </si>
  <si>
    <t xml:space="preserve">ME25M028</t>
  </si>
  <si>
    <t xml:space="preserve">Suresh Babu</t>
  </si>
  <si>
    <t xml:space="preserve">02_Answer_Sheets/ME5309_Midsem_S28_Suresh_Babu.pdf</t>
  </si>
  <si>
    <t xml:space="preserve">ME25M029</t>
  </si>
  <si>
    <t xml:space="preserve">Neha Kapoor</t>
  </si>
  <si>
    <t xml:space="preserve">02_Answer_Sheets/ME5309_Midsem_S29_Neha_Kapoor.pdf</t>
  </si>
  <si>
    <t xml:space="preserve">ME25M030</t>
  </si>
  <si>
    <t xml:space="preserve">Dev Choudhary</t>
  </si>
  <si>
    <t xml:space="preserve">02_Answer_Sheets/ME5309_Midsem_S30_Dev_Choudhary.pdf</t>
  </si>
  <si>
    <t xml:space="preserve">ME25M031</t>
  </si>
  <si>
    <t xml:space="preserve">Anjali Mishra</t>
  </si>
  <si>
    <t xml:space="preserve">02_Answer_Sheets/ME5309_Midsem_S31_Anjali_Mishra.pdf</t>
  </si>
  <si>
    <t xml:space="preserve">ME25M032</t>
  </si>
  <si>
    <t xml:space="preserve">Pranav Deshpande</t>
  </si>
  <si>
    <t xml:space="preserve">Careless with units / significant figures (instructions 6-7)</t>
  </si>
  <si>
    <t xml:space="preserve">Contains unit/significant-figure penalties. Style: terse.</t>
  </si>
  <si>
    <t xml:space="preserve">02_Answer_Sheets/ME5309_Midsem_S32_Pranav_Deshpande.pdf</t>
  </si>
  <si>
    <t xml:space="preserve">ME25M033</t>
  </si>
  <si>
    <t xml:space="preserve">Swati Jain</t>
  </si>
  <si>
    <t xml:space="preserve">Chatty, rambling and wordy, with self-doubt and filler text</t>
  </si>
  <si>
    <t xml:space="preserve">02_Answer_Sheets/ME5309_Midsem_S33_Swati_Jain.pdf</t>
  </si>
  <si>
    <t xml:space="preserve">ME25M034</t>
  </si>
  <si>
    <t xml:space="preserve">Imran Sheikh</t>
  </si>
  <si>
    <t xml:space="preserve">Q3, Q4</t>
  </si>
  <si>
    <t xml:space="preserve">02_Answer_Sheets/ME5309_Midsem_S34_Imran_Sheikh.pdf</t>
  </si>
  <si>
    <t xml:space="preserve">ME25M035</t>
  </si>
  <si>
    <t xml:space="preserve">Tejas Naik</t>
  </si>
  <si>
    <t xml:space="preserve">Q1</t>
  </si>
  <si>
    <t xml:space="preserve">Struck-out Q1 (raw 7.5) must not count; counted total 26.0 vs 26.0 if strike ignored. Style: verbose.</t>
  </si>
  <si>
    <t xml:space="preserve">02_Answer_Sheets/ME5309_Midsem_S35_Tejas_Naik.pdf</t>
  </si>
  <si>
    <t xml:space="preserve">ME25M036</t>
  </si>
  <si>
    <t xml:space="preserve">Bhavna Rathore</t>
  </si>
  <si>
    <t xml:space="preserve">All four attempted: Q3 (7.0) is the lowest and must be dropped. Style: verbose.</t>
  </si>
  <si>
    <t xml:space="preserve">02_Answer_Sheets/ME5309_Midsem_S36_Bhavna_Rathore.pdf</t>
  </si>
  <si>
    <t xml:space="preserve">ME25M037</t>
  </si>
  <si>
    <t xml:space="preserve">Kunal Thakur</t>
  </si>
  <si>
    <t xml:space="preserve">02_Answer_Sheets/ME5309_Midsem_S37_Kunal_Thakur.pdf</t>
  </si>
  <si>
    <t xml:space="preserve">ME25M038</t>
  </si>
  <si>
    <t xml:space="preserve">Divya Sethi</t>
  </si>
  <si>
    <t xml:space="preserve">02_Answer_Sheets/ME5309_Midsem_S38_Divya_Sethi.pdf</t>
  </si>
  <si>
    <t xml:space="preserve">ME25M039</t>
  </si>
  <si>
    <t xml:space="preserve">Mohit Saxena</t>
  </si>
  <si>
    <t xml:space="preserve">02_Answer_Sheets/ME5309_Midsem_S39_Mohit_Saxena.pdf</t>
  </si>
  <si>
    <t xml:space="preserve">ME25M040</t>
  </si>
  <si>
    <t xml:space="preserve">Ramya Chandran</t>
  </si>
  <si>
    <t xml:space="preserve">02_Answer_Sheets/ME5309_Midsem_S40_Ramya_Chandran.pdf</t>
  </si>
  <si>
    <t xml:space="preserve">ME25M041</t>
  </si>
  <si>
    <t xml:space="preserve">Ayush Tiwari</t>
  </si>
  <si>
    <t xml:space="preserve">02_Answer_Sheets/ME5309_Midsem_S41_Ayush_Tiwari.pdf</t>
  </si>
  <si>
    <t xml:space="preserve">ME25M042</t>
  </si>
  <si>
    <t xml:space="preserve">Sana Qureshi</t>
  </si>
  <si>
    <t xml:space="preserve">02_Answer_Sheets/ME5309_Midsem_S42_Sana_Qureshi.pdf</t>
  </si>
  <si>
    <t xml:space="preserve">ME25M043</t>
  </si>
  <si>
    <t xml:space="preserve">Yash Bhatt</t>
  </si>
  <si>
    <t xml:space="preserve">02_Answer_Sheets/ME5309_Midsem_S43_Yash_Bhatt.pdf</t>
  </si>
  <si>
    <t xml:space="preserve">ME25M044</t>
  </si>
  <si>
    <t xml:space="preserve">Ishaan Kohli</t>
  </si>
  <si>
    <t xml:space="preserve">5 part(s) are bare answers (zero credit). Style: terse.</t>
  </si>
  <si>
    <t xml:space="preserve">02_Answer_Sheets/ME5309_Midsem_S44_Ishaan_Kohli.pdf</t>
  </si>
  <si>
    <t xml:space="preserve">ME25M045</t>
  </si>
  <si>
    <t xml:space="preserve">Gayatri Joshi</t>
  </si>
  <si>
    <t xml:space="preserve">02_Answer_Sheets/ME5309_Midsem_S45_Gayatri_Joshi.pdf</t>
  </si>
  <si>
    <t xml:space="preserve">ME25M046</t>
  </si>
  <si>
    <t xml:space="preserve">Abhishek Nair</t>
  </si>
  <si>
    <t xml:space="preserve">Inconsistent: some parts long, some one-liners</t>
  </si>
  <si>
    <t xml:space="preserve">Style: mixed.</t>
  </si>
  <si>
    <t xml:space="preserve">02_Answer_Sheets/ME5309_Midsem_S46_Abhishek_Nair.pdf</t>
  </si>
  <si>
    <t xml:space="preserve">ME25M047</t>
  </si>
  <si>
    <t xml:space="preserve">Fatima Khan</t>
  </si>
  <si>
    <t xml:space="preserve">Struck-out Q2 (raw 9.5) must not count; counted total 25.0 vs 26.5 if strike ignored. Style: verbose.</t>
  </si>
  <si>
    <t xml:space="preserve">02_Answer_Sheets/ME5309_Midsem_S47_Fatima_Khan.pdf</t>
  </si>
  <si>
    <t xml:space="preserve">ME25M048</t>
  </si>
  <si>
    <t xml:space="preserve">Rajat Mukherjee</t>
  </si>
  <si>
    <t xml:space="preserve">Attempted only one question (two counted slots score 0)</t>
  </si>
  <si>
    <t xml:space="preserve">Q4</t>
  </si>
  <si>
    <t xml:space="preserve">Only 1 question(s) attempted: remaining counted slot(s) score 0. Style: terse.</t>
  </si>
  <si>
    <t xml:space="preserve">02_Answer_Sheets/ME5309_Midsem_S48_Rajat_Mukherjee.pdf</t>
  </si>
  <si>
    <t xml:space="preserve">ME25M049</t>
  </si>
  <si>
    <t xml:space="preserve">Pallavi Shetty</t>
  </si>
  <si>
    <t xml:space="preserve">02_Answer_Sheets/ME5309_Midsem_S49_Pallavi_Shetty.pdf</t>
  </si>
  <si>
    <t xml:space="preserve">ME25M050</t>
  </si>
  <si>
    <t xml:space="preserve">Karan Oberoi</t>
  </si>
  <si>
    <t xml:space="preserve">02_Answer_Sheets/ME5309_Midsem_S50_Karan_Oberoi.pdf</t>
  </si>
  <si>
    <t xml:space="preserve">ME25M051</t>
  </si>
  <si>
    <t xml:space="preserve">Meghna Ghosh</t>
  </si>
  <si>
    <t xml:space="preserve">02_Answer_Sheets/ME5309_Midsem_S51_Meghna_Ghosh.pdf</t>
  </si>
  <si>
    <t xml:space="preserve">ME25M052</t>
  </si>
  <si>
    <t xml:space="preserve">Arvind Krishnamurthy</t>
  </si>
  <si>
    <t xml:space="preserve">02_Answer_Sheets/ME5309_Midsem_S52_Arvind_Krishnamurthy.pdf</t>
  </si>
  <si>
    <t xml:space="preserve">ME25M053</t>
  </si>
  <si>
    <t xml:space="preserve">Trisha Dutta</t>
  </si>
  <si>
    <t xml:space="preserve">02_Answer_Sheets/ME5309_Midsem_S53_Trisha_Dutta.pdf</t>
  </si>
  <si>
    <t xml:space="preserve">ME25M054</t>
  </si>
  <si>
    <t xml:space="preserve">Zoya Ansari</t>
  </si>
  <si>
    <t xml:space="preserve">02_Answer_Sheets/ME5309_Midsem_S54_Zoya_Ansari.pdf</t>
  </si>
  <si>
    <t xml:space="preserve">ME25M055</t>
  </si>
  <si>
    <t xml:space="preserve">Harini Sundaram</t>
  </si>
  <si>
    <t xml:space="preserve">02_Answer_Sheets/ME5309_Midsem_S55_Harini_Sundaram.pdf</t>
  </si>
  <si>
    <t xml:space="preserve">ME25M056</t>
  </si>
  <si>
    <t xml:space="preserve">Omkar Patil</t>
  </si>
  <si>
    <t xml:space="preserve">4 part(s) are bare answers (zero credit). Style: terse.</t>
  </si>
  <si>
    <t xml:space="preserve">02_Answer_Sheets/ME5309_Midsem_S56_Omkar_Patil.pdf</t>
  </si>
  <si>
    <t xml:space="preserve">ME25M057</t>
  </si>
  <si>
    <t xml:space="preserve">Naveen Kumar</t>
  </si>
  <si>
    <t xml:space="preserve">02_Answer_Sheets/ME5309_Midsem_S57_Naveen_Kumar.pdf</t>
  </si>
  <si>
    <t xml:space="preserve">ME25M058</t>
  </si>
  <si>
    <t xml:space="preserve">Shalini Pandey</t>
  </si>
  <si>
    <t xml:space="preserve">02_Answer_Sheets/ME5309_Midsem_S58_Shalini_Pandey.pdf</t>
  </si>
  <si>
    <t xml:space="preserve">ME25M059</t>
  </si>
  <si>
    <t xml:space="preserve">Vivek Rao</t>
  </si>
  <si>
    <t xml:space="preserve">Struck-out Q1 (raw 10.0) must not count; counted total 23.5 vs 27.0 if strike ignored. Style: verbose.</t>
  </si>
  <si>
    <t xml:space="preserve">02_Answer_Sheets/ME5309_Midsem_S59_Vivek_Rao.pdf</t>
  </si>
  <si>
    <t xml:space="preserve">ME25M060</t>
  </si>
  <si>
    <t xml:space="preserve">Ankita Sinha</t>
  </si>
  <si>
    <t xml:space="preserve">All four attempted: Q3 (8.0) is the lowest and must be dropped. Style: verbose.</t>
  </si>
  <si>
    <t xml:space="preserve">02_Answer_Sheets/ME5309_Midsem_S60_Ankita_Sinha.pdf</t>
  </si>
  <si>
    <t xml:space="preserve">Batch average (/30)</t>
  </si>
  <si>
    <t xml:space="preserve">Highest / lowest</t>
  </si>
  <si>
    <t xml:space="preserve">Part-wise expected marks (ground truth) - ME 5309 Midsem, all 60 sheets</t>
  </si>
  <si>
    <t xml:space="preserve">Marks are what a careful examiner following the Rubric_ModelAnswer sheet would award (half-mark steps, error-carried-forward credit where noted). 0 = not attempted. Blue = hard-coded input.</t>
  </si>
  <si>
    <t xml:space="preserve">Q1(a)</t>
  </si>
  <si>
    <t xml:space="preserve">Q1(b)</t>
  </si>
  <si>
    <t xml:space="preserve">Q1(c)</t>
  </si>
  <si>
    <t xml:space="preserve">Q2(a)</t>
  </si>
  <si>
    <t xml:space="preserve">Q2(b)</t>
  </si>
  <si>
    <t xml:space="preserve">Q2(c)</t>
  </si>
  <si>
    <t xml:space="preserve">Q2(d)</t>
  </si>
  <si>
    <t xml:space="preserve">Q3(a)</t>
  </si>
  <si>
    <t xml:space="preserve">Q3(b)</t>
  </si>
  <si>
    <t xml:space="preserve">Q3(c)</t>
  </si>
  <si>
    <t xml:space="preserve">Q3(d)</t>
  </si>
  <si>
    <t xml:space="preserve">Q4(a)</t>
  </si>
  <si>
    <t xml:space="preserve">Q4(b)</t>
  </si>
  <si>
    <t xml:space="preserve">Q4(c)</t>
  </si>
  <si>
    <t xml:space="preserve">Q4(d)</t>
  </si>
  <si>
    <t xml:space="preserve">Max marks</t>
  </si>
  <si>
    <t xml:space="preserve">Error log: what was deliberately done in each answer sheet and the marks it costs</t>
  </si>
  <si>
    <t xml:space="preserve">Row type: Error = deliberate mistake or omission; Alternative method = valid but unusual approach (no loss expected); Not attempted / Struck out = question-level rows. Marks awarded link to Part_Marks.</t>
  </si>
  <si>
    <t xml:space="preserve">Question</t>
  </si>
  <si>
    <t xml:space="preserve">Part</t>
  </si>
  <si>
    <t xml:space="preserve">Variant id</t>
  </si>
  <si>
    <t xml:space="preserve">Row type</t>
  </si>
  <si>
    <t xml:space="preserve">Category</t>
  </si>
  <si>
    <t xml:space="preserve">What the student did</t>
  </si>
  <si>
    <t xml:space="preserve">Marks awarded</t>
  </si>
  <si>
    <t xml:space="preserve">Marks lost</t>
  </si>
  <si>
    <t xml:space="preserve">Counted in total?</t>
  </si>
  <si>
    <t xml:space="preserve">All</t>
  </si>
  <si>
    <t xml:space="preserve">n/a</t>
  </si>
  <si>
    <t xml:space="preserve">Not attempted</t>
  </si>
  <si>
    <t xml:space="preserve">Omission</t>
  </si>
  <si>
    <t xml:space="preserve">Question left blank (0 marks; may be dropped from best-3 anyway)</t>
  </si>
  <si>
    <t xml:space="preserve">c</t>
  </si>
  <si>
    <t xml:space="preserve">ok_approx</t>
  </si>
  <si>
    <t xml:space="preserve">Alternative method</t>
  </si>
  <si>
    <t xml:space="preserve">Valid alternative</t>
  </si>
  <si>
    <t xml:space="preserve">Used the small-error estimate sin(theta_ss) ~ 1 giving 2.81 deg; acceptable because the question asks to estimate (full marks expected)</t>
  </si>
  <si>
    <t xml:space="preserve">Yes</t>
  </si>
  <si>
    <t xml:space="preserve">b</t>
  </si>
  <si>
    <t xml:space="preserve">e4</t>
  </si>
  <si>
    <t xml:space="preserve">Error</t>
  </si>
  <si>
    <t xml:space="preserve">Incomplete</t>
  </si>
  <si>
    <t xml:space="preserve">Coefficients correct but DC gain only asserted, not verified from the difference equation</t>
  </si>
  <si>
    <t xml:space="preserve">d</t>
  </si>
  <si>
    <t xml:space="preserve">e3</t>
  </si>
  <si>
    <t xml:space="preserve">Weak remedy</t>
  </si>
  <si>
    <t xml:space="preserve">Zero-error derivation correct; windup named but remedy ("reduce K_I to zero") is not a standard anti-windup scheme</t>
  </si>
  <si>
    <t xml:space="preserve">a</t>
  </si>
  <si>
    <t xml:space="preserve">e1</t>
  </si>
  <si>
    <t xml:space="preserve">Unit conversion</t>
  </si>
  <si>
    <t xml:space="preserve">Unit slip: 16 mm / 5 µm evaluated as 16/5 = 3.2 (µm not converted); FOV and per-pixel values absurd but formulas right (error carried forward)</t>
  </si>
  <si>
    <t xml:space="preserve">e2</t>
  </si>
  <si>
    <t xml:space="preserve">Calculation</t>
  </si>
  <si>
    <t xml:space="preserve">Decimal-place slip in final division (0.0122 N instead of 0.122 N); method correct</t>
  </si>
  <si>
    <t xml:space="preserve">Integration slip: ∫e^(−2τ)dτ taken as 1−e^(−0.2) (missing 1/2): G = 0.1813 instead of 0.0906; F and formulas right</t>
  </si>
  <si>
    <t xml:space="preserve">Sign error</t>
  </si>
  <si>
    <t xml:space="preserve">Sign error on damping term in state equation (+b x2); equilibrium condition and range correct</t>
  </si>
  <si>
    <t xml:space="preserve">Calculator left in radian mode: cos(60) = -0.952 gives A21 = +116.8 instead of -61.31; structure, A22 and B right</t>
  </si>
  <si>
    <t xml:space="preserve">theta_d entered in degrees while Kp is in N.m/rad (unit inconsistency): error 0.049 deg instead of 2.81 deg; reasoning right</t>
  </si>
  <si>
    <t xml:space="preserve">Conceptual</t>
  </si>
  <si>
    <t xml:space="preserve">Error = 0 correct, but claims poles change (ignores cos 90 deg = 0)</t>
  </si>
  <si>
    <t xml:space="preserve">Correct DC-gain formula but denominator not updated for b=0.75 (used 8 not 7.5): result 0.75 / 25% instead of 0.8 / 20%</t>
  </si>
  <si>
    <t xml:space="preserve">Expansion slip: (s+4)(s^2+4s+8) taken as s^3+8s^2+16s+32 (should be 24s) giving k1=10 instead of 18</t>
  </si>
  <si>
    <t xml:space="preserve">Zero-error argument correct; failure mode given (noise amplification) is not the standard one (windup)</t>
  </si>
  <si>
    <t xml:space="preserve">Similar-triangle ratio inverted (f/Z instead of Z/f): FOV = 0.256 mm instead of 160 mm; f_x correct</t>
  </si>
  <si>
    <t xml:space="preserve">Stopped at ADC LSB voltage; never converted to force via sensor sensitivity</t>
  </si>
  <si>
    <t xml:space="preserve">Method</t>
  </si>
  <si>
    <t xml:space="preserve">Used forward-Euler instead of the exact ZOH discretisation (F=0.8, G=0.1); question demands exact model</t>
  </si>
  <si>
    <t xml:space="preserve">B given as [0;1], omitting the 1/J = 50 factor; A fully correct</t>
  </si>
  <si>
    <t xml:space="preserve">Weak justification</t>
  </si>
  <si>
    <t xml:space="preserve">Correct conclusions (error 0; poles unchanged) but justification wrong: term depends on theta; real reason is cos 90 deg = 0</t>
  </si>
  <si>
    <t xml:space="preserve">One valid reason (noise amplification); second reason (memory/processing cost) is wrong</t>
  </si>
  <si>
    <t xml:space="preserve">No (struck out)</t>
  </si>
  <si>
    <t xml:space="preserve">Forgot 2*pi: used w_c = 20 rad/s instead of 125.66 rad/s; Tustin method and DC check correct</t>
  </si>
  <si>
    <t xml:space="preserve">Arithmetic slip: l2 = 100 - 18 = 82 (forgot 2*l1 = 36) instead of 64; derivation and l1 correct</t>
  </si>
  <si>
    <t xml:space="preserve">Observer advantage correct (uses model/input, no lag); circumstance wrong (claims filter safer at high sampling rate)</t>
  </si>
  <si>
    <t xml:space="preserve">theta_ss = 0.8 correct but % error computed as 80% (should be 20%)</t>
  </si>
  <si>
    <t xml:space="preserve">Circular argument for zero error (stable so zero error); windup with clamping remedy correct</t>
  </si>
  <si>
    <t xml:space="preserve">Strike-out</t>
  </si>
  <si>
    <t xml:space="preserve">Student crossed the whole answer out; it must not be counted even though it was attempted</t>
  </si>
  <si>
    <t xml:space="preserve">bare</t>
  </si>
  <si>
    <t xml:space="preserve">Missing working</t>
  </si>
  <si>
    <t xml:space="preserve">Final answers only; no formula or substitution (instruction 5 gives no credit)</t>
  </si>
  <si>
    <t xml:space="preserve">Bare numeric answer; no formula or substitution (no credit under instruction 5)</t>
  </si>
  <si>
    <t xml:space="preserve">Final difference equation and DC gain stated without derivation (no credit under instruction 5)</t>
  </si>
  <si>
    <t xml:space="preserve">Final L stated without derivation of the characteristic polynomial (no credit under instruction 5)</t>
  </si>
  <si>
    <t xml:space="preserve">Poles and N_ff stated without derivation (no credit under instruction 5)</t>
  </si>
  <si>
    <t xml:space="preserve">Answer stated without formula or substitution (no credit under instruction 5)</t>
  </si>
  <si>
    <t xml:space="preserve">Final gains stated without derivation (no credit under instruction 5)</t>
  </si>
  <si>
    <t xml:space="preserve">Equilibrium range given as 0 &lt;= tau0 &lt;= mgl; misses negative torques (should be |tau0| &lt;= mgl)</t>
  </si>
  <si>
    <t xml:space="preserve">Decimal slip: 2.4525/50 evaluated as 0.00491 rad giving 0.281 deg instead of 2.81 deg; reasoning and equation correct</t>
  </si>
  <si>
    <t xml:space="preserve">Vague</t>
  </si>
  <si>
    <t xml:space="preserve">Both answers vague (observer is more accurate; filter safer because cheap): half credit each at best</t>
  </si>
  <si>
    <t xml:space="preserve">Sign error in constant term (-b*K_I): gives K_I = -32 instead of +32; other coefficients right</t>
  </si>
  <si>
    <t xml:space="preserve">Hand-wavy zero-error argument (no equation: integrator accumulates until error is zero); windup + anti-windup clamp correct</t>
  </si>
  <si>
    <t xml:space="preserve">Claims an equilibrium exists for every tau0 (ignores |sin|&lt;=1 so |tau0|&lt;=mgl); model correct</t>
  </si>
  <si>
    <t xml:space="preserve">Claims PD drives error to zero and ignores gravity at steady state; only states theta-dot = theta-ddot = 0</t>
  </si>
  <si>
    <t xml:space="preserve">Claims a residual error of ~0.5 deg (should be exactly 0); poles unchanged with correct reason (cos 90 deg = 0)</t>
  </si>
  <si>
    <t xml:space="preserve">Both reasons wrong (adds a pole / derivative of a sampled signal not defined)</t>
  </si>
  <si>
    <t xml:space="preserve">Used forward Euler instead of Tustin: coefficients 0.8743/0.1257 wrong for the bilinear transform; DC check done and valid-filter structure partly credited</t>
  </si>
  <si>
    <t xml:space="preserve">Confused observer design with state feedback: used A-BK structure, L=[100,18] wrong; only the pole-matching idea is credited</t>
  </si>
  <si>
    <t xml:space="preserve">Both answers wrong (claims no observer advantage; filter safer when model perfectly known)</t>
  </si>
  <si>
    <t xml:space="preserve">Gravity stiffness c dropped from the characteristic equation (s^2+4s+2): poles -0.59,-3.41 and N_ff=2 wrong; structure of derivation right</t>
  </si>
  <si>
    <t xml:space="preserve">Assumed error scales with b (0.75 / 25%) without recomputing DC gain; correct answer is 0.8 / 20%</t>
  </si>
  <si>
    <t xml:space="preserve">Ignored the integrator state: used a 2nd-order polynomial, k1=k2=2, K_I=4; no third-order characteristic polynomial</t>
  </si>
  <si>
    <t xml:space="preserve">Misread data</t>
  </si>
  <si>
    <t xml:space="preserve">Sampling period misread as 0.01 s (should be 0.1 s); formulas right, numbers consistently wrong (F=0.9802, G=0.0099)</t>
  </si>
  <si>
    <t xml:space="preserve">Only one distinct reason (noise amplification) stated twice in different words</t>
  </si>
  <si>
    <t xml:space="preserve">Feedback coefficient mis-evaluated (0.8187 instead of 0.8818); DC gain only asserted and would not equal 1 with these coefficients</t>
  </si>
  <si>
    <t xml:space="preserve">Sign error in determinant (-l2 instead of +l2): polynomial s^2+(2+l1)s+(2l1-l2) gives L=[18,-64]</t>
  </si>
  <si>
    <t xml:space="preserve">ok_2sf</t>
  </si>
  <si>
    <t xml:space="preserve">Unit/Precision</t>
  </si>
  <si>
    <t xml:space="preserve">Per-pixel distance reported to 2 s.f. (0.13 mm/px), violating the 3-s.f. instruction (-0.5)</t>
  </si>
  <si>
    <t xml:space="preserve">ok_nu</t>
  </si>
  <si>
    <t xml:space="preserve">Final answer written without units (-0.5)</t>
  </si>
  <si>
    <t xml:space="preserve">Poles correct; N_ff inverted (0.125 instead of 8)</t>
  </si>
  <si>
    <t xml:space="preserve">ok_alt</t>
  </si>
  <si>
    <t xml:space="preserve">Different wording of correct points: no lag + unmeasured states/disturbances; filter safer under model mismatch or saturation; full marks expected</t>
  </si>
  <si>
    <t xml:space="preserve">Closed-loop polynomial correct but roots solved wrongly (-2 +/- 4j, forgot to divide by 2); N_ff = 8 right</t>
  </si>
  <si>
    <t xml:space="preserve">Swapped a and c in characteristic polynomial: k1=22, k2=2 wrong; K_I = 32 right</t>
  </si>
  <si>
    <t xml:space="preserve">Read 10 mV/N as 10 V/N: LSB correct, method right, result 1.22e-4 N (off by 1000)</t>
  </si>
  <si>
    <t xml:space="preserve">Error = 0 correct; nothing said about the closed-loop poles</t>
  </si>
  <si>
    <t xml:space="preserve">e5</t>
  </si>
  <si>
    <t xml:space="preserve">Symbolic slip</t>
  </si>
  <si>
    <t xml:space="preserve">Symbolic characteristic polynomial written without the factor b (s^3+(a+k2)s^2+(c+k1)s+K_I); numbers unaffected since b = 1</t>
  </si>
  <si>
    <t xml:space="preserve">Used sin(theta_e) instead of cos(theta_e) in the Jacobian: A21 = -106.2 (should be -61.31)</t>
  </si>
  <si>
    <t xml:space="preserve">Sign error on the gravity term in the state equation (+mgl sin x1); equilibrium range |tau0|&lt;=mgl still stated</t>
  </si>
  <si>
    <t xml:space="preserve">Notation</t>
  </si>
  <si>
    <t xml:space="preserve">F and G computed correctly but swapped in the final model x[k+1] = G x[k] + F u[k]</t>
  </si>
  <si>
    <t xml:space="preserve">Zero-error argument correct; windup named with explanation but no remedy given</t>
  </si>
  <si>
    <t xml:space="preserve">Expanded (s+10)^2 as s^2+10s+100 (should be 20s) giving L=[8,84]; characteristic polynomial derived correctly</t>
  </si>
  <si>
    <t xml:space="preserve">f_x and FOV correct but distance per pixel never given (-1.0)</t>
  </si>
  <si>
    <t xml:space="preserve">F and G reported to 2 s.f. (0.82, 0.09), violating the 3 s.f. instruction (-0.5)</t>
  </si>
  <si>
    <t xml:space="preserve">A21 given as -61 (2 s.f.), violating the 3 s.f. instruction (-0.5)</t>
  </si>
  <si>
    <t xml:space="preserve">ok_3sf</t>
  </si>
  <si>
    <t xml:space="preserve">Coefficients rounded to 2 s.f. (0.059, 0.88), violating the 3 s.f. instruction; DC check only approximately 1 (-0.5)</t>
  </si>
  <si>
    <t xml:space="preserve">Final error quoted as 2.8 deg (2 s.f.), violating the 3 s.f. instruction (-0.5)</t>
  </si>
  <si>
    <t xml:space="preserve">Rubric and model answers used for the ground-truth marks</t>
  </si>
  <si>
    <t xml:space="preserve">Derived from the paper (no rubric was supplied): part marks as printed, split into items. Rules: error-carried-forward credit when method is right; bare answers without formula/substitution earn 0 (paper instruction 5); -0.5 for missing units or fewer than 3 s.f. (instructions 6-7).</t>
  </si>
  <si>
    <t xml:space="preserve">Rubric items (marks)</t>
  </si>
  <si>
    <t xml:space="preserve">Model answer</t>
  </si>
  <si>
    <t xml:space="preserve">f_x = f/p = 3200 px (1.5); FOV by similar triangles = 160 mm (1.5); mm per pixel = 0.125 (1.0)</t>
  </si>
  <si>
    <t xml:space="preserve">f_x = 16 mm / 5 um = 3200 px. Sensor width 6.4 mm; FOV = 6.4*400/16 = 160 mm; 160/1280 = 0.125 mm/px (= Z/f_x).</t>
  </si>
  <si>
    <t xml:space="preserve">LSB = 5/4096 = 1.22 mV (1.5); convert with 10 mV/N (1.0); units and assumption (0.5)</t>
  </si>
  <si>
    <t xml:space="preserve">LSB = 5/2^12 = 1.2207 mV; dF = 1.2207/10 = 0.122 N.</t>
  </si>
  <si>
    <t xml:space="preserve">Formulas F = e^(AT), G = A^-1 (F-I) B (1.0); F value (1.0); G value (1.0)</t>
  </si>
  <si>
    <t xml:space="preserve">F = e^-0.2 = 0.8187; G = (1 - e^-0.2)/2 = 0.0906; x[k+1] = 0.8187 x[k] + 0.0906 u[k].</t>
  </si>
  <si>
    <t xml:space="preserve">States and nonlinear model (1.0); equilibrium equation and |tau0| &lt;= mgl (1.0)</t>
  </si>
  <si>
    <t xml:space="preserve">x1 = theta, x2 = theta-dot; x2-dot = (tau - b x2 - mgl sin x1)/J. Equilibrium: mgl sin(theta_e) = tau0, exists iff |tau0| &lt;= mgl = 2.4525 N.m.</t>
  </si>
  <si>
    <t xml:space="preserve">A with numerical entries (1.5); B (0.5)</t>
  </si>
  <si>
    <t xml:space="preserve">A = [0 1; -(mgl/J)cos60 -b/J] = [0 1; -61.31 -2.5]; B = [0; 1/J] = [0; 50].</t>
  </si>
  <si>
    <t xml:space="preserve">Gravity must be balanced so no rest at theta_d (1.5); steady-state equation (1.0); numerical solution (1.5)</t>
  </si>
  <si>
    <t xml:space="preserve">Kp(theta_d - theta_ss) = mgl sin(theta_ss); 50(pi/2 - theta) = 2.4525 sin(theta) gives theta_ss = 87.19 deg, error = 2.81 deg (estimate mgl/Kp = 2.81 deg accepted).</t>
  </si>
  <si>
    <t xml:space="preserve">Error = 0 (1.0); poles unchanged with justification (1.0)</t>
  </si>
  <si>
    <t xml:space="preserve">theta_ss = theta_d. Linearised stiffness was Kp + mgl cos(theta_d); cos 90 = 0 so poles are unchanged (true only because theta_d = 90 deg).</t>
  </si>
  <si>
    <t xml:space="preserve">Two distinct valid reasons, 1.0 each</t>
  </si>
  <si>
    <t xml:space="preserve">(1) Differentiation amplifies (quantisation/measurement) noise; (2) encoder quantisation gives coarse velocity steps q/T; (also: delay/lag).</t>
  </si>
  <si>
    <t xml:space="preserve">Tustin coefficients with method (1.5); DC gain verified (0.5)</t>
  </si>
  <si>
    <t xml:space="preserve">wc = 125.66 rad/s, a = wc T/2 = 0.06283; y[k] = 0.05912 (u[k]+u[k-1]) + 0.88177 y[k-1]; H(1) = 2a/((1+a)-(1-a)) = 1.</t>
  </si>
  <si>
    <t xml:space="preserve">Characteristic polynomial (1.5); matching with s^2+20s+100 (1.0); L values (1.5)</t>
  </si>
  <si>
    <t xml:space="preserve">s^2 + (2+l1)s + (2 l1 + l2) = (s+10)^2 gives l1 = 18, l2 = 64.</t>
  </si>
  <si>
    <t xml:space="preserve">Observer advantage (1.0); circumstance where filter is safer (1.0)</t>
  </si>
  <si>
    <t xml:space="preserve">Observer uses model and input: no phase lag, estimates unmeasured states/disturbances. Filter safer when model is uncertain or changing (payload, friction, contact, saturation).</t>
  </si>
  <si>
    <t xml:space="preserve">Closed-loop poles (1.0); N_ff (1.0)</t>
  </si>
  <si>
    <t xml:space="preserve">s^2 + 4s + 8: poles -2 +/- 2j; DC gain N_ff/8 = 1 so N_ff = 8.</t>
  </si>
  <si>
    <t xml:space="preserve">theta_ss (1.0); percentage error (1.0)</t>
  </si>
  <si>
    <t xml:space="preserve">theta_ss = 0.75*8/(6 + 0.75*2) = 6/7.5 = 0.8; error 20% (not 25%).</t>
  </si>
  <si>
    <t xml:space="preserve">Characteristic polynomial (1.5); desired polynomial expansion (0.5); k1, k2 (1.0); K_I (1.0)</t>
  </si>
  <si>
    <t xml:space="preserve">s^3 + (a+b k2)s^2 + (c+b k1)s + b K_I = s^3 + 8s^2 + 24s + 32 gives k2 = 6, k1 = 18, K_I = 32.</t>
  </si>
  <si>
    <t xml:space="preserve">Zero steady-state error argument (1.0); windup and anti-windup remedy (1.0)</t>
  </si>
  <si>
    <t xml:space="preserve">At steady state xi-dot = r - theta_ss = 0 independent of b, c. Failure mode: integrator windup with saturation; remedy: clamping / back-calculation anti-windup.</t>
  </si>
  <si>
    <t xml:space="preserve">Total</t>
  </si>
  <si>
    <t xml:space="preserve">60 marks across four questions; the best three (30 marks) count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</si>
</sst>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General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11" min="8" style="0" width="8"/>
    <col collapsed="false" customWidth="true" hidden="false" outlineLevel="0" max="15" min="12" style="0" width="9"/>
    <col collapsed="false" customWidth="true" hidden="false" outlineLevel="0" max="16" min="16" style="0" width="12"/>
    <col collapsed="false" customWidth="true" hidden="false" outlineLevel="0" max="18" min="17" style="0" width="11"/>
    <col collapsed="false" customWidth="true" hidden="false" outlineLevel="0" max="19" min="19" style="0" width="52"/>
    <col collapsed="false" customWidth="true" hidden="false" outlineLevel="0" max="20" min="20" style="0" width="48"/>
    <col collapsed="false" customWidth="true" hidden="false" outlineLevel="0" max="21" min="21" style="0" width="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customFormat="false" ht="15" hidden="false" customHeight="false" outlineLevel="0" collapsed="false">
      <c r="A4" s="4" t="s">
        <v>23</v>
      </c>
      <c r="B4" s="5"/>
      <c r="C4" s="5"/>
      <c r="D4" s="5"/>
      <c r="E4" s="5"/>
      <c r="F4" s="5"/>
      <c r="G4" s="5"/>
      <c r="H4" s="6" t="n">
        <v>10</v>
      </c>
      <c r="I4" s="6" t="n">
        <v>10</v>
      </c>
      <c r="J4" s="6" t="n">
        <v>10</v>
      </c>
      <c r="K4" s="6" t="n">
        <v>10</v>
      </c>
      <c r="L4" s="6" t="n">
        <v>10</v>
      </c>
      <c r="M4" s="6" t="n">
        <v>10</v>
      </c>
      <c r="N4" s="6" t="n">
        <v>10</v>
      </c>
      <c r="O4" s="6" t="n">
        <v>10</v>
      </c>
      <c r="P4" s="6" t="n">
        <v>30</v>
      </c>
      <c r="Q4" s="5"/>
      <c r="R4" s="5"/>
      <c r="S4" s="5"/>
      <c r="T4" s="5"/>
      <c r="U4" s="5"/>
    </row>
    <row r="5" customFormat="false" ht="23.85" hidden="false" customHeight="false" outlineLevel="0" collapsed="false">
      <c r="A5" s="7" t="n">
        <v>1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29</v>
      </c>
      <c r="H5" s="8" t="n">
        <f aca="false">SUM(Part_Marks!C5:E5)</f>
        <v>10</v>
      </c>
      <c r="I5" s="8" t="n">
        <f aca="false">SUM(Part_Marks!F5:I5)</f>
        <v>10</v>
      </c>
      <c r="J5" s="8" t="n">
        <f aca="false">SUM(Part_Marks!J5:M5)</f>
        <v>10</v>
      </c>
      <c r="K5" s="8" t="n">
        <f aca="false">SUM(Part_Marks!N5:Q5)</f>
        <v>0</v>
      </c>
      <c r="L5" s="8" t="n">
        <f aca="false">IF(ISNUMBER(SEARCH("Q1",$G5)),0,H5)</f>
        <v>10</v>
      </c>
      <c r="M5" s="8" t="n">
        <f aca="false">IF(ISNUMBER(SEARCH("Q2",$G5)),0,I5)</f>
        <v>10</v>
      </c>
      <c r="N5" s="8" t="n">
        <f aca="false">IF(ISNUMBER(SEARCH("Q3",$G5)),0,J5)</f>
        <v>10</v>
      </c>
      <c r="O5" s="8" t="n">
        <f aca="false">IF(ISNUMBER(SEARCH("Q4",$G5)),0,K5)</f>
        <v>0</v>
      </c>
      <c r="P5" s="9" t="n">
        <f aca="false">LARGE(L5:O5,1)+LARGE(L5:O5,2)+LARGE(L5:O5,3)</f>
        <v>30</v>
      </c>
      <c r="Q5" s="10" t="n">
        <f aca="false">COUNTIFS(Error_Log!$A:$A,$B5,Error_Log!$F:$F,"Error")</f>
        <v>0</v>
      </c>
      <c r="R5" s="11" t="n">
        <v>6</v>
      </c>
      <c r="S5" s="7" t="s">
        <v>30</v>
      </c>
      <c r="T5" s="7" t="s">
        <v>31</v>
      </c>
      <c r="U5" s="7" t="n">
        <v>1</v>
      </c>
    </row>
    <row r="6" customFormat="false" ht="23.85" hidden="false" customHeight="false" outlineLevel="0" collapsed="false">
      <c r="A6" s="7" t="n">
        <v>2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29</v>
      </c>
      <c r="H6" s="8" t="n">
        <f aca="false">SUM(Part_Marks!C6:E6)</f>
        <v>0</v>
      </c>
      <c r="I6" s="8" t="n">
        <f aca="false">SUM(Part_Marks!F6:I6)</f>
        <v>10</v>
      </c>
      <c r="J6" s="8" t="n">
        <f aca="false">SUM(Part_Marks!J6:M6)</f>
        <v>9.5</v>
      </c>
      <c r="K6" s="8" t="n">
        <f aca="false">SUM(Part_Marks!N6:Q6)</f>
        <v>9.5</v>
      </c>
      <c r="L6" s="8" t="n">
        <f aca="false">IF(ISNUMBER(SEARCH("Q1",$G6)),0,H6)</f>
        <v>0</v>
      </c>
      <c r="M6" s="8" t="n">
        <f aca="false">IF(ISNUMBER(SEARCH("Q2",$G6)),0,I6)</f>
        <v>10</v>
      </c>
      <c r="N6" s="8" t="n">
        <f aca="false">IF(ISNUMBER(SEARCH("Q3",$G6)),0,J6)</f>
        <v>9.5</v>
      </c>
      <c r="O6" s="8" t="n">
        <f aca="false">IF(ISNUMBER(SEARCH("Q4",$G6)),0,K6)</f>
        <v>9.5</v>
      </c>
      <c r="P6" s="9" t="n">
        <f aca="false">LARGE(L6:O6,1)+LARGE(L6:O6,2)+LARGE(L6:O6,3)</f>
        <v>29</v>
      </c>
      <c r="Q6" s="10" t="n">
        <f aca="false">COUNTIFS(Error_Log!$A:$A,$B6,Error_Log!$F:$F,"Error")</f>
        <v>2</v>
      </c>
      <c r="R6" s="11" t="n">
        <v>2</v>
      </c>
      <c r="S6" s="7" t="s">
        <v>37</v>
      </c>
      <c r="T6" s="7" t="s">
        <v>38</v>
      </c>
      <c r="U6" s="7" t="n">
        <v>1</v>
      </c>
    </row>
    <row r="7" customFormat="false" ht="23.85" hidden="false" customHeight="false" outlineLevel="0" collapsed="false">
      <c r="A7" s="7" t="n">
        <v>3</v>
      </c>
      <c r="B7" s="7" t="s">
        <v>39</v>
      </c>
      <c r="C7" s="7" t="s">
        <v>40</v>
      </c>
      <c r="D7" s="7" t="s">
        <v>41</v>
      </c>
      <c r="E7" s="7" t="s">
        <v>35</v>
      </c>
      <c r="F7" s="7" t="s">
        <v>42</v>
      </c>
      <c r="G7" s="7" t="s">
        <v>29</v>
      </c>
      <c r="H7" s="8" t="n">
        <f aca="false">SUM(Part_Marks!C7:E7)</f>
        <v>6.5</v>
      </c>
      <c r="I7" s="8" t="n">
        <f aca="false">SUM(Part_Marks!F7:I7)</f>
        <v>5.5</v>
      </c>
      <c r="J7" s="8" t="n">
        <f aca="false">SUM(Part_Marks!J7:M7)</f>
        <v>0</v>
      </c>
      <c r="K7" s="8" t="n">
        <f aca="false">SUM(Part_Marks!N7:Q7)</f>
        <v>7</v>
      </c>
      <c r="L7" s="8" t="n">
        <f aca="false">IF(ISNUMBER(SEARCH("Q1",$G7)),0,H7)</f>
        <v>6.5</v>
      </c>
      <c r="M7" s="8" t="n">
        <f aca="false">IF(ISNUMBER(SEARCH("Q2",$G7)),0,I7)</f>
        <v>5.5</v>
      </c>
      <c r="N7" s="8" t="n">
        <f aca="false">IF(ISNUMBER(SEARCH("Q3",$G7)),0,J7)</f>
        <v>0</v>
      </c>
      <c r="O7" s="8" t="n">
        <f aca="false">IF(ISNUMBER(SEARCH("Q4",$G7)),0,K7)</f>
        <v>7</v>
      </c>
      <c r="P7" s="9" t="n">
        <f aca="false">LARGE(L7:O7,1)+LARGE(L7:O7,2)+LARGE(L7:O7,3)</f>
        <v>19</v>
      </c>
      <c r="Q7" s="10" t="n">
        <f aca="false">COUNTIFS(Error_Log!$A:$A,$B7,Error_Log!$F:$F,"Error")</f>
        <v>10</v>
      </c>
      <c r="R7" s="11" t="n">
        <v>6</v>
      </c>
      <c r="S7" s="7" t="s">
        <v>43</v>
      </c>
      <c r="T7" s="7" t="s">
        <v>44</v>
      </c>
      <c r="U7" s="7" t="n">
        <v>1</v>
      </c>
    </row>
    <row r="8" customFormat="false" ht="23.85" hidden="false" customHeight="false" outlineLevel="0" collapsed="false">
      <c r="A8" s="7" t="n">
        <v>4</v>
      </c>
      <c r="B8" s="7" t="s">
        <v>45</v>
      </c>
      <c r="C8" s="7" t="s">
        <v>46</v>
      </c>
      <c r="D8" s="7" t="s">
        <v>47</v>
      </c>
      <c r="E8" s="7" t="s">
        <v>27</v>
      </c>
      <c r="F8" s="7" t="s">
        <v>48</v>
      </c>
      <c r="G8" s="7" t="s">
        <v>49</v>
      </c>
      <c r="H8" s="8" t="n">
        <f aca="false">SUM(Part_Marks!C8:E8)</f>
        <v>3.5</v>
      </c>
      <c r="I8" s="8" t="n">
        <f aca="false">SUM(Part_Marks!F8:I8)</f>
        <v>9</v>
      </c>
      <c r="J8" s="8" t="n">
        <f aca="false">SUM(Part_Marks!J8:M8)</f>
        <v>6.5</v>
      </c>
      <c r="K8" s="8" t="n">
        <f aca="false">SUM(Part_Marks!N8:Q8)</f>
        <v>8</v>
      </c>
      <c r="L8" s="8" t="n">
        <f aca="false">IF(ISNUMBER(SEARCH("Q1",$G8)),0,H8)</f>
        <v>3.5</v>
      </c>
      <c r="M8" s="8" t="n">
        <f aca="false">IF(ISNUMBER(SEARCH("Q2",$G8)),0,I8)</f>
        <v>9</v>
      </c>
      <c r="N8" s="8" t="n">
        <f aca="false">IF(ISNUMBER(SEARCH("Q3",$G8)),0,J8)</f>
        <v>0</v>
      </c>
      <c r="O8" s="8" t="n">
        <f aca="false">IF(ISNUMBER(SEARCH("Q4",$G8)),0,K8)</f>
        <v>8</v>
      </c>
      <c r="P8" s="9" t="n">
        <f aca="false">LARGE(L8:O8,1)+LARGE(L8:O8,2)+LARGE(L8:O8,3)</f>
        <v>20.5</v>
      </c>
      <c r="Q8" s="10" t="n">
        <f aca="false">COUNTIFS(Error_Log!$A:$A,$B8,Error_Log!$F:$F,"Error")</f>
        <v>11</v>
      </c>
      <c r="R8" s="11" t="n">
        <v>15</v>
      </c>
      <c r="S8" s="7" t="s">
        <v>50</v>
      </c>
      <c r="T8" s="7" t="s">
        <v>51</v>
      </c>
      <c r="U8" s="7" t="n">
        <v>1</v>
      </c>
    </row>
    <row r="9" customFormat="false" ht="23.85" hidden="false" customHeight="false" outlineLevel="0" collapsed="false">
      <c r="A9" s="7" t="n">
        <v>5</v>
      </c>
      <c r="B9" s="7" t="s">
        <v>52</v>
      </c>
      <c r="C9" s="7" t="s">
        <v>53</v>
      </c>
      <c r="D9" s="7" t="s">
        <v>54</v>
      </c>
      <c r="E9" s="7" t="s">
        <v>35</v>
      </c>
      <c r="F9" s="7" t="s">
        <v>55</v>
      </c>
      <c r="G9" s="7" t="s">
        <v>29</v>
      </c>
      <c r="H9" s="8" t="n">
        <f aca="false">SUM(Part_Marks!C9:E9)</f>
        <v>3</v>
      </c>
      <c r="I9" s="8" t="n">
        <f aca="false">SUM(Part_Marks!F9:I9)</f>
        <v>0</v>
      </c>
      <c r="J9" s="8" t="n">
        <f aca="false">SUM(Part_Marks!J9:M9)</f>
        <v>4</v>
      </c>
      <c r="K9" s="8" t="n">
        <f aca="false">SUM(Part_Marks!N9:Q9)</f>
        <v>2</v>
      </c>
      <c r="L9" s="8" t="n">
        <f aca="false">IF(ISNUMBER(SEARCH("Q1",$G9)),0,H9)</f>
        <v>3</v>
      </c>
      <c r="M9" s="8" t="n">
        <f aca="false">IF(ISNUMBER(SEARCH("Q2",$G9)),0,I9)</f>
        <v>0</v>
      </c>
      <c r="N9" s="8" t="n">
        <f aca="false">IF(ISNUMBER(SEARCH("Q3",$G9)),0,J9)</f>
        <v>4</v>
      </c>
      <c r="O9" s="8" t="n">
        <f aca="false">IF(ISNUMBER(SEARCH("Q4",$G9)),0,K9)</f>
        <v>2</v>
      </c>
      <c r="P9" s="9" t="n">
        <f aca="false">LARGE(L9:O9,1)+LARGE(L9:O9,2)+LARGE(L9:O9,3)</f>
        <v>9</v>
      </c>
      <c r="Q9" s="10" t="n">
        <f aca="false">COUNTIFS(Error_Log!$A:$A,$B9,Error_Log!$F:$F,"Error")</f>
        <v>7</v>
      </c>
      <c r="R9" s="11" t="n">
        <v>7</v>
      </c>
      <c r="S9" s="7" t="s">
        <v>56</v>
      </c>
      <c r="T9" s="7" t="s">
        <v>57</v>
      </c>
      <c r="U9" s="7" t="n">
        <v>1</v>
      </c>
    </row>
    <row r="10" customFormat="false" ht="23.85" hidden="false" customHeight="false" outlineLevel="0" collapsed="false">
      <c r="A10" s="7" t="n">
        <v>6</v>
      </c>
      <c r="B10" s="7" t="s">
        <v>58</v>
      </c>
      <c r="C10" s="7" t="s">
        <v>59</v>
      </c>
      <c r="D10" s="7" t="s">
        <v>60</v>
      </c>
      <c r="E10" s="7" t="s">
        <v>27</v>
      </c>
      <c r="F10" s="7" t="s">
        <v>48</v>
      </c>
      <c r="G10" s="7" t="s">
        <v>29</v>
      </c>
      <c r="H10" s="8" t="n">
        <f aca="false">SUM(Part_Marks!C10:E10)</f>
        <v>10</v>
      </c>
      <c r="I10" s="8" t="n">
        <f aca="false">SUM(Part_Marks!F10:I10)</f>
        <v>8</v>
      </c>
      <c r="J10" s="8" t="n">
        <f aca="false">SUM(Part_Marks!J10:M10)</f>
        <v>9</v>
      </c>
      <c r="K10" s="8" t="n">
        <f aca="false">SUM(Part_Marks!N10:Q10)</f>
        <v>7.5</v>
      </c>
      <c r="L10" s="8" t="n">
        <f aca="false">IF(ISNUMBER(SEARCH("Q1",$G10)),0,H10)</f>
        <v>10</v>
      </c>
      <c r="M10" s="8" t="n">
        <f aca="false">IF(ISNUMBER(SEARCH("Q2",$G10)),0,I10)</f>
        <v>8</v>
      </c>
      <c r="N10" s="8" t="n">
        <f aca="false">IF(ISNUMBER(SEARCH("Q3",$G10)),0,J10)</f>
        <v>9</v>
      </c>
      <c r="O10" s="8" t="n">
        <f aca="false">IF(ISNUMBER(SEARCH("Q4",$G10)),0,K10)</f>
        <v>7.5</v>
      </c>
      <c r="P10" s="9" t="n">
        <f aca="false">LARGE(L10:O10,1)+LARGE(L10:O10,2)+LARGE(L10:O10,3)</f>
        <v>27</v>
      </c>
      <c r="Q10" s="10" t="n">
        <f aca="false">COUNTIFS(Error_Log!$A:$A,$B10,Error_Log!$F:$F,"Error")</f>
        <v>6</v>
      </c>
      <c r="R10" s="11" t="n">
        <v>19</v>
      </c>
      <c r="S10" s="7" t="s">
        <v>61</v>
      </c>
      <c r="T10" s="7" t="s">
        <v>62</v>
      </c>
      <c r="U10" s="7" t="n">
        <v>1</v>
      </c>
    </row>
    <row r="11" customFormat="false" ht="23.85" hidden="false" customHeight="false" outlineLevel="0" collapsed="false">
      <c r="A11" s="7" t="n">
        <v>7</v>
      </c>
      <c r="B11" s="7" t="s">
        <v>63</v>
      </c>
      <c r="C11" s="7" t="s">
        <v>64</v>
      </c>
      <c r="D11" s="7" t="s">
        <v>65</v>
      </c>
      <c r="E11" s="7" t="s">
        <v>35</v>
      </c>
      <c r="F11" s="7" t="s">
        <v>36</v>
      </c>
      <c r="G11" s="7" t="s">
        <v>29</v>
      </c>
      <c r="H11" s="8" t="n">
        <f aca="false">SUM(Part_Marks!C11:E11)</f>
        <v>0</v>
      </c>
      <c r="I11" s="8" t="n">
        <f aca="false">SUM(Part_Marks!F11:I11)</f>
        <v>3.5</v>
      </c>
      <c r="J11" s="8" t="n">
        <f aca="false">SUM(Part_Marks!J11:M11)</f>
        <v>2</v>
      </c>
      <c r="K11" s="8" t="n">
        <f aca="false">SUM(Part_Marks!N11:Q11)</f>
        <v>2.5</v>
      </c>
      <c r="L11" s="8" t="n">
        <f aca="false">IF(ISNUMBER(SEARCH("Q1",$G11)),0,H11)</f>
        <v>0</v>
      </c>
      <c r="M11" s="8" t="n">
        <f aca="false">IF(ISNUMBER(SEARCH("Q2",$G11)),0,I11)</f>
        <v>3.5</v>
      </c>
      <c r="N11" s="8" t="n">
        <f aca="false">IF(ISNUMBER(SEARCH("Q3",$G11)),0,J11)</f>
        <v>2</v>
      </c>
      <c r="O11" s="8" t="n">
        <f aca="false">IF(ISNUMBER(SEARCH("Q4",$G11)),0,K11)</f>
        <v>2.5</v>
      </c>
      <c r="P11" s="9" t="n">
        <f aca="false">LARGE(L11:O11,1)+LARGE(L11:O11,2)+LARGE(L11:O11,3)</f>
        <v>8</v>
      </c>
      <c r="Q11" s="10" t="n">
        <f aca="false">COUNTIFS(Error_Log!$A:$A,$B11,Error_Log!$F:$F,"Error")</f>
        <v>12</v>
      </c>
      <c r="R11" s="11" t="n">
        <v>13</v>
      </c>
      <c r="S11" s="7" t="s">
        <v>66</v>
      </c>
      <c r="T11" s="7" t="s">
        <v>67</v>
      </c>
      <c r="U11" s="7" t="n">
        <v>1</v>
      </c>
    </row>
    <row r="12" customFormat="false" ht="23.85" hidden="false" customHeight="false" outlineLevel="0" collapsed="false">
      <c r="A12" s="7" t="n">
        <v>8</v>
      </c>
      <c r="B12" s="7" t="s">
        <v>68</v>
      </c>
      <c r="C12" s="7" t="s">
        <v>69</v>
      </c>
      <c r="D12" s="7" t="s">
        <v>70</v>
      </c>
      <c r="E12" s="7" t="s">
        <v>27</v>
      </c>
      <c r="F12" s="7" t="s">
        <v>71</v>
      </c>
      <c r="G12" s="7" t="s">
        <v>29</v>
      </c>
      <c r="H12" s="8" t="n">
        <f aca="false">SUM(Part_Marks!C12:E12)</f>
        <v>9</v>
      </c>
      <c r="I12" s="8" t="n">
        <f aca="false">SUM(Part_Marks!F12:I12)</f>
        <v>0</v>
      </c>
      <c r="J12" s="8" t="n">
        <f aca="false">SUM(Part_Marks!J12:M12)</f>
        <v>0</v>
      </c>
      <c r="K12" s="8" t="n">
        <f aca="false">SUM(Part_Marks!N12:Q12)</f>
        <v>8.5</v>
      </c>
      <c r="L12" s="8" t="n">
        <f aca="false">IF(ISNUMBER(SEARCH("Q1",$G12)),0,H12)</f>
        <v>9</v>
      </c>
      <c r="M12" s="8" t="n">
        <f aca="false">IF(ISNUMBER(SEARCH("Q2",$G12)),0,I12)</f>
        <v>0</v>
      </c>
      <c r="N12" s="8" t="n">
        <f aca="false">IF(ISNUMBER(SEARCH("Q3",$G12)),0,J12)</f>
        <v>0</v>
      </c>
      <c r="O12" s="8" t="n">
        <f aca="false">IF(ISNUMBER(SEARCH("Q4",$G12)),0,K12)</f>
        <v>8.5</v>
      </c>
      <c r="P12" s="9" t="n">
        <f aca="false">LARGE(L12:O12,1)+LARGE(L12:O12,2)+LARGE(L12:O12,3)</f>
        <v>17.5</v>
      </c>
      <c r="Q12" s="10" t="n">
        <f aca="false">COUNTIFS(Error_Log!$A:$A,$B12,Error_Log!$F:$F,"Error")</f>
        <v>3</v>
      </c>
      <c r="R12" s="11" t="n">
        <v>7</v>
      </c>
      <c r="S12" s="7" t="s">
        <v>72</v>
      </c>
      <c r="T12" s="7" t="s">
        <v>73</v>
      </c>
      <c r="U12" s="7" t="n">
        <v>1</v>
      </c>
    </row>
    <row r="13" customFormat="false" ht="23.85" hidden="false" customHeight="false" outlineLevel="0" collapsed="false">
      <c r="A13" s="7" t="n">
        <v>9</v>
      </c>
      <c r="B13" s="7" t="s">
        <v>74</v>
      </c>
      <c r="C13" s="7" t="s">
        <v>75</v>
      </c>
      <c r="D13" s="7" t="s">
        <v>76</v>
      </c>
      <c r="E13" s="7" t="s">
        <v>77</v>
      </c>
      <c r="F13" s="7" t="s">
        <v>28</v>
      </c>
      <c r="G13" s="7" t="s">
        <v>29</v>
      </c>
      <c r="H13" s="8" t="n">
        <f aca="false">SUM(Part_Marks!C13:E13)</f>
        <v>8</v>
      </c>
      <c r="I13" s="8" t="n">
        <f aca="false">SUM(Part_Marks!F13:I13)</f>
        <v>6.5</v>
      </c>
      <c r="J13" s="8" t="n">
        <f aca="false">SUM(Part_Marks!J13:M13)</f>
        <v>6</v>
      </c>
      <c r="K13" s="8" t="n">
        <f aca="false">SUM(Part_Marks!N13:Q13)</f>
        <v>0</v>
      </c>
      <c r="L13" s="8" t="n">
        <f aca="false">IF(ISNUMBER(SEARCH("Q1",$G13)),0,H13)</f>
        <v>8</v>
      </c>
      <c r="M13" s="8" t="n">
        <f aca="false">IF(ISNUMBER(SEARCH("Q2",$G13)),0,I13)</f>
        <v>6.5</v>
      </c>
      <c r="N13" s="8" t="n">
        <f aca="false">IF(ISNUMBER(SEARCH("Q3",$G13)),0,J13)</f>
        <v>6</v>
      </c>
      <c r="O13" s="8" t="n">
        <f aca="false">IF(ISNUMBER(SEARCH("Q4",$G13)),0,K13)</f>
        <v>0</v>
      </c>
      <c r="P13" s="9" t="n">
        <f aca="false">LARGE(L13:O13,1)+LARGE(L13:O13,2)+LARGE(L13:O13,3)</f>
        <v>20.5</v>
      </c>
      <c r="Q13" s="10" t="n">
        <f aca="false">COUNTIFS(Error_Log!$A:$A,$B13,Error_Log!$F:$F,"Error")</f>
        <v>7</v>
      </c>
      <c r="R13" s="11" t="n">
        <v>9</v>
      </c>
      <c r="S13" s="7" t="s">
        <v>78</v>
      </c>
      <c r="T13" s="7" t="s">
        <v>79</v>
      </c>
      <c r="U13" s="7" t="n">
        <v>1</v>
      </c>
    </row>
    <row r="14" customFormat="false" ht="23.85" hidden="false" customHeight="false" outlineLevel="0" collapsed="false">
      <c r="A14" s="7" t="n">
        <v>10</v>
      </c>
      <c r="B14" s="7" t="s">
        <v>80</v>
      </c>
      <c r="C14" s="7" t="s">
        <v>81</v>
      </c>
      <c r="D14" s="7" t="s">
        <v>82</v>
      </c>
      <c r="E14" s="7" t="s">
        <v>27</v>
      </c>
      <c r="F14" s="7" t="s">
        <v>48</v>
      </c>
      <c r="G14" s="7" t="s">
        <v>29</v>
      </c>
      <c r="H14" s="8" t="n">
        <f aca="false">SUM(Part_Marks!C14:E14)</f>
        <v>9.5</v>
      </c>
      <c r="I14" s="8" t="n">
        <f aca="false">SUM(Part_Marks!F14:I14)</f>
        <v>10</v>
      </c>
      <c r="J14" s="8" t="n">
        <f aca="false">SUM(Part_Marks!J14:M14)</f>
        <v>9</v>
      </c>
      <c r="K14" s="8" t="n">
        <f aca="false">SUM(Part_Marks!N14:Q14)</f>
        <v>10</v>
      </c>
      <c r="L14" s="8" t="n">
        <f aca="false">IF(ISNUMBER(SEARCH("Q1",$G14)),0,H14)</f>
        <v>9.5</v>
      </c>
      <c r="M14" s="8" t="n">
        <f aca="false">IF(ISNUMBER(SEARCH("Q2",$G14)),0,I14)</f>
        <v>10</v>
      </c>
      <c r="N14" s="8" t="n">
        <f aca="false">IF(ISNUMBER(SEARCH("Q3",$G14)),0,J14)</f>
        <v>9</v>
      </c>
      <c r="O14" s="8" t="n">
        <f aca="false">IF(ISNUMBER(SEARCH("Q4",$G14)),0,K14)</f>
        <v>10</v>
      </c>
      <c r="P14" s="9" t="n">
        <f aca="false">LARGE(L14:O14,1)+LARGE(L14:O14,2)+LARGE(L14:O14,3)</f>
        <v>29.5</v>
      </c>
      <c r="Q14" s="10" t="n">
        <f aca="false">COUNTIFS(Error_Log!$A:$A,$B14,Error_Log!$F:$F,"Error")</f>
        <v>2</v>
      </c>
      <c r="R14" s="11" t="n">
        <v>3</v>
      </c>
      <c r="S14" s="7" t="s">
        <v>83</v>
      </c>
      <c r="T14" s="7" t="s">
        <v>84</v>
      </c>
      <c r="U14" s="7" t="n">
        <v>1</v>
      </c>
    </row>
    <row r="15" customFormat="false" ht="23.85" hidden="false" customHeight="false" outlineLevel="0" collapsed="false">
      <c r="A15" s="7" t="n">
        <v>11</v>
      </c>
      <c r="B15" s="7" t="s">
        <v>85</v>
      </c>
      <c r="C15" s="7" t="s">
        <v>86</v>
      </c>
      <c r="D15" s="7" t="s">
        <v>87</v>
      </c>
      <c r="E15" s="7" t="s">
        <v>35</v>
      </c>
      <c r="F15" s="7" t="s">
        <v>55</v>
      </c>
      <c r="G15" s="7" t="s">
        <v>29</v>
      </c>
      <c r="H15" s="8" t="n">
        <f aca="false">SUM(Part_Marks!C15:E15)</f>
        <v>9</v>
      </c>
      <c r="I15" s="8" t="n">
        <f aca="false">SUM(Part_Marks!F15:I15)</f>
        <v>0</v>
      </c>
      <c r="J15" s="8" t="n">
        <f aca="false">SUM(Part_Marks!J15:M15)</f>
        <v>6.5</v>
      </c>
      <c r="K15" s="8" t="n">
        <f aca="false">SUM(Part_Marks!N15:Q15)</f>
        <v>6.5</v>
      </c>
      <c r="L15" s="8" t="n">
        <f aca="false">IF(ISNUMBER(SEARCH("Q1",$G15)),0,H15)</f>
        <v>9</v>
      </c>
      <c r="M15" s="8" t="n">
        <f aca="false">IF(ISNUMBER(SEARCH("Q2",$G15)),0,I15)</f>
        <v>0</v>
      </c>
      <c r="N15" s="8" t="n">
        <f aca="false">IF(ISNUMBER(SEARCH("Q3",$G15)),0,J15)</f>
        <v>6.5</v>
      </c>
      <c r="O15" s="8" t="n">
        <f aca="false">IF(ISNUMBER(SEARCH("Q4",$G15)),0,K15)</f>
        <v>6.5</v>
      </c>
      <c r="P15" s="9" t="n">
        <f aca="false">LARGE(L15:O15,1)+LARGE(L15:O15,2)+LARGE(L15:O15,3)</f>
        <v>22</v>
      </c>
      <c r="Q15" s="10" t="n">
        <f aca="false">COUNTIFS(Error_Log!$A:$A,$B15,Error_Log!$F:$F,"Error")</f>
        <v>9</v>
      </c>
      <c r="R15" s="11" t="n">
        <v>6</v>
      </c>
      <c r="S15" s="7" t="s">
        <v>88</v>
      </c>
      <c r="T15" s="7" t="s">
        <v>89</v>
      </c>
      <c r="U15" s="7" t="n">
        <v>1</v>
      </c>
    </row>
    <row r="16" customFormat="false" ht="23.85" hidden="false" customHeight="false" outlineLevel="0" collapsed="false">
      <c r="A16" s="7" t="n">
        <v>12</v>
      </c>
      <c r="B16" s="7" t="s">
        <v>90</v>
      </c>
      <c r="C16" s="7" t="s">
        <v>91</v>
      </c>
      <c r="D16" s="7" t="s">
        <v>92</v>
      </c>
      <c r="E16" s="7" t="s">
        <v>27</v>
      </c>
      <c r="F16" s="7" t="s">
        <v>36</v>
      </c>
      <c r="G16" s="7" t="s">
        <v>29</v>
      </c>
      <c r="H16" s="8" t="n">
        <f aca="false">SUM(Part_Marks!C16:E16)</f>
        <v>0</v>
      </c>
      <c r="I16" s="8" t="n">
        <f aca="false">SUM(Part_Marks!F16:I16)</f>
        <v>9.5</v>
      </c>
      <c r="J16" s="8" t="n">
        <f aca="false">SUM(Part_Marks!J16:M16)</f>
        <v>9</v>
      </c>
      <c r="K16" s="8" t="n">
        <f aca="false">SUM(Part_Marks!N16:Q16)</f>
        <v>9</v>
      </c>
      <c r="L16" s="8" t="n">
        <f aca="false">IF(ISNUMBER(SEARCH("Q1",$G16)),0,H16)</f>
        <v>0</v>
      </c>
      <c r="M16" s="8" t="n">
        <f aca="false">IF(ISNUMBER(SEARCH("Q2",$G16)),0,I16)</f>
        <v>9.5</v>
      </c>
      <c r="N16" s="8" t="n">
        <f aca="false">IF(ISNUMBER(SEARCH("Q3",$G16)),0,J16)</f>
        <v>9</v>
      </c>
      <c r="O16" s="8" t="n">
        <f aca="false">IF(ISNUMBER(SEARCH("Q4",$G16)),0,K16)</f>
        <v>9</v>
      </c>
      <c r="P16" s="9" t="n">
        <f aca="false">LARGE(L16:O16,1)+LARGE(L16:O16,2)+LARGE(L16:O16,3)</f>
        <v>27.5</v>
      </c>
      <c r="Q16" s="10" t="n">
        <f aca="false">COUNTIFS(Error_Log!$A:$A,$B16,Error_Log!$F:$F,"Error")</f>
        <v>3</v>
      </c>
      <c r="R16" s="11" t="n">
        <v>10</v>
      </c>
      <c r="S16" s="7" t="s">
        <v>93</v>
      </c>
      <c r="T16" s="7" t="s">
        <v>94</v>
      </c>
      <c r="U16" s="7" t="n">
        <v>1</v>
      </c>
    </row>
    <row r="17" customFormat="false" ht="23.85" hidden="false" customHeight="false" outlineLevel="0" collapsed="false">
      <c r="A17" s="7" t="n">
        <v>13</v>
      </c>
      <c r="B17" s="7" t="s">
        <v>95</v>
      </c>
      <c r="C17" s="7" t="s">
        <v>96</v>
      </c>
      <c r="D17" s="7" t="s">
        <v>97</v>
      </c>
      <c r="E17" s="7" t="s">
        <v>27</v>
      </c>
      <c r="F17" s="7" t="s">
        <v>55</v>
      </c>
      <c r="G17" s="7" t="s">
        <v>29</v>
      </c>
      <c r="H17" s="8" t="n">
        <f aca="false">SUM(Part_Marks!C17:E17)</f>
        <v>10</v>
      </c>
      <c r="I17" s="8" t="n">
        <f aca="false">SUM(Part_Marks!F17:I17)</f>
        <v>0</v>
      </c>
      <c r="J17" s="8" t="n">
        <f aca="false">SUM(Part_Marks!J17:M17)</f>
        <v>10</v>
      </c>
      <c r="K17" s="8" t="n">
        <f aca="false">SUM(Part_Marks!N17:Q17)</f>
        <v>9</v>
      </c>
      <c r="L17" s="8" t="n">
        <f aca="false">IF(ISNUMBER(SEARCH("Q1",$G17)),0,H17)</f>
        <v>10</v>
      </c>
      <c r="M17" s="8" t="n">
        <f aca="false">IF(ISNUMBER(SEARCH("Q2",$G17)),0,I17)</f>
        <v>0</v>
      </c>
      <c r="N17" s="8" t="n">
        <f aca="false">IF(ISNUMBER(SEARCH("Q3",$G17)),0,J17)</f>
        <v>10</v>
      </c>
      <c r="O17" s="8" t="n">
        <f aca="false">IF(ISNUMBER(SEARCH("Q4",$G17)),0,K17)</f>
        <v>9</v>
      </c>
      <c r="P17" s="9" t="n">
        <f aca="false">LARGE(L17:O17,1)+LARGE(L17:O17,2)+LARGE(L17:O17,3)</f>
        <v>29</v>
      </c>
      <c r="Q17" s="10" t="n">
        <f aca="false">COUNTIFS(Error_Log!$A:$A,$B17,Error_Log!$F:$F,"Error")</f>
        <v>1</v>
      </c>
      <c r="R17" s="11" t="n">
        <v>5</v>
      </c>
      <c r="S17" s="7" t="s">
        <v>98</v>
      </c>
      <c r="T17" s="7" t="s">
        <v>99</v>
      </c>
      <c r="U17" s="7" t="n">
        <v>2</v>
      </c>
    </row>
    <row r="18" customFormat="false" ht="23.85" hidden="false" customHeight="false" outlineLevel="0" collapsed="false">
      <c r="A18" s="7" t="n">
        <v>14</v>
      </c>
      <c r="B18" s="7" t="s">
        <v>100</v>
      </c>
      <c r="C18" s="7" t="s">
        <v>101</v>
      </c>
      <c r="D18" s="7" t="s">
        <v>102</v>
      </c>
      <c r="E18" s="7" t="s">
        <v>27</v>
      </c>
      <c r="F18" s="7" t="s">
        <v>55</v>
      </c>
      <c r="G18" s="7" t="s">
        <v>29</v>
      </c>
      <c r="H18" s="8" t="n">
        <f aca="false">SUM(Part_Marks!C18:E18)</f>
        <v>8.5</v>
      </c>
      <c r="I18" s="8" t="n">
        <f aca="false">SUM(Part_Marks!F18:I18)</f>
        <v>0</v>
      </c>
      <c r="J18" s="8" t="n">
        <f aca="false">SUM(Part_Marks!J18:M18)</f>
        <v>6.5</v>
      </c>
      <c r="K18" s="8" t="n">
        <f aca="false">SUM(Part_Marks!N18:Q18)</f>
        <v>6.5</v>
      </c>
      <c r="L18" s="8" t="n">
        <f aca="false">IF(ISNUMBER(SEARCH("Q1",$G18)),0,H18)</f>
        <v>8.5</v>
      </c>
      <c r="M18" s="8" t="n">
        <f aca="false">IF(ISNUMBER(SEARCH("Q2",$G18)),0,I18)</f>
        <v>0</v>
      </c>
      <c r="N18" s="8" t="n">
        <f aca="false">IF(ISNUMBER(SEARCH("Q3",$G18)),0,J18)</f>
        <v>6.5</v>
      </c>
      <c r="O18" s="8" t="n">
        <f aca="false">IF(ISNUMBER(SEARCH("Q4",$G18)),0,K18)</f>
        <v>6.5</v>
      </c>
      <c r="P18" s="9" t="n">
        <f aca="false">LARGE(L18:O18,1)+LARGE(L18:O18,2)+LARGE(L18:O18,3)</f>
        <v>21.5</v>
      </c>
      <c r="Q18" s="10" t="n">
        <f aca="false">COUNTIFS(Error_Log!$A:$A,$B18,Error_Log!$F:$F,"Error")</f>
        <v>7</v>
      </c>
      <c r="R18" s="11" t="n">
        <v>1</v>
      </c>
      <c r="S18" s="7" t="s">
        <v>103</v>
      </c>
      <c r="T18" s="7" t="s">
        <v>104</v>
      </c>
      <c r="U18" s="7" t="n">
        <v>2</v>
      </c>
    </row>
    <row r="19" customFormat="false" ht="23.85" hidden="false" customHeight="false" outlineLevel="0" collapsed="false">
      <c r="A19" s="7" t="n">
        <v>15</v>
      </c>
      <c r="B19" s="7" t="s">
        <v>105</v>
      </c>
      <c r="C19" s="7" t="s">
        <v>106</v>
      </c>
      <c r="D19" s="7" t="s">
        <v>102</v>
      </c>
      <c r="E19" s="7" t="s">
        <v>27</v>
      </c>
      <c r="F19" s="7" t="s">
        <v>28</v>
      </c>
      <c r="G19" s="7" t="s">
        <v>29</v>
      </c>
      <c r="H19" s="8" t="n">
        <f aca="false">SUM(Part_Marks!C19:E19)</f>
        <v>6.5</v>
      </c>
      <c r="I19" s="8" t="n">
        <f aca="false">SUM(Part_Marks!F19:I19)</f>
        <v>10</v>
      </c>
      <c r="J19" s="8" t="n">
        <f aca="false">SUM(Part_Marks!J19:M19)</f>
        <v>7.5</v>
      </c>
      <c r="K19" s="8" t="n">
        <f aca="false">SUM(Part_Marks!N19:Q19)</f>
        <v>0</v>
      </c>
      <c r="L19" s="8" t="n">
        <f aca="false">IF(ISNUMBER(SEARCH("Q1",$G19)),0,H19)</f>
        <v>6.5</v>
      </c>
      <c r="M19" s="8" t="n">
        <f aca="false">IF(ISNUMBER(SEARCH("Q2",$G19)),0,I19)</f>
        <v>10</v>
      </c>
      <c r="N19" s="8" t="n">
        <f aca="false">IF(ISNUMBER(SEARCH("Q3",$G19)),0,J19)</f>
        <v>7.5</v>
      </c>
      <c r="O19" s="8" t="n">
        <f aca="false">IF(ISNUMBER(SEARCH("Q4",$G19)),0,K19)</f>
        <v>0</v>
      </c>
      <c r="P19" s="9" t="n">
        <f aca="false">LARGE(L19:O19,1)+LARGE(L19:O19,2)+LARGE(L19:O19,3)</f>
        <v>24</v>
      </c>
      <c r="Q19" s="10" t="n">
        <f aca="false">COUNTIFS(Error_Log!$A:$A,$B19,Error_Log!$F:$F,"Error")</f>
        <v>4</v>
      </c>
      <c r="R19" s="11" t="n">
        <v>4</v>
      </c>
      <c r="S19" s="7" t="s">
        <v>98</v>
      </c>
      <c r="T19" s="7" t="s">
        <v>107</v>
      </c>
      <c r="U19" s="7" t="n">
        <v>2</v>
      </c>
    </row>
    <row r="20" customFormat="false" ht="23.85" hidden="false" customHeight="false" outlineLevel="0" collapsed="false">
      <c r="A20" s="7" t="n">
        <v>16</v>
      </c>
      <c r="B20" s="7" t="s">
        <v>108</v>
      </c>
      <c r="C20" s="7" t="s">
        <v>109</v>
      </c>
      <c r="D20" s="7" t="s">
        <v>110</v>
      </c>
      <c r="E20" s="7" t="s">
        <v>35</v>
      </c>
      <c r="F20" s="7" t="s">
        <v>42</v>
      </c>
      <c r="G20" s="7" t="s">
        <v>29</v>
      </c>
      <c r="H20" s="8" t="n">
        <f aca="false">SUM(Part_Marks!C20:E20)</f>
        <v>7</v>
      </c>
      <c r="I20" s="8" t="n">
        <f aca="false">SUM(Part_Marks!F20:I20)</f>
        <v>9.5</v>
      </c>
      <c r="J20" s="8" t="n">
        <f aca="false">SUM(Part_Marks!J20:M20)</f>
        <v>0</v>
      </c>
      <c r="K20" s="8" t="n">
        <f aca="false">SUM(Part_Marks!N20:Q20)</f>
        <v>8.5</v>
      </c>
      <c r="L20" s="8" t="n">
        <f aca="false">IF(ISNUMBER(SEARCH("Q1",$G20)),0,H20)</f>
        <v>7</v>
      </c>
      <c r="M20" s="8" t="n">
        <f aca="false">IF(ISNUMBER(SEARCH("Q2",$G20)),0,I20)</f>
        <v>9.5</v>
      </c>
      <c r="N20" s="8" t="n">
        <f aca="false">IF(ISNUMBER(SEARCH("Q3",$G20)),0,J20)</f>
        <v>0</v>
      </c>
      <c r="O20" s="8" t="n">
        <f aca="false">IF(ISNUMBER(SEARCH("Q4",$G20)),0,K20)</f>
        <v>8.5</v>
      </c>
      <c r="P20" s="9" t="n">
        <f aca="false">LARGE(L20:O20,1)+LARGE(L20:O20,2)+LARGE(L20:O20,3)</f>
        <v>25</v>
      </c>
      <c r="Q20" s="10" t="n">
        <f aca="false">COUNTIFS(Error_Log!$A:$A,$B20,Error_Log!$F:$F,"Error")</f>
        <v>4</v>
      </c>
      <c r="R20" s="11" t="n">
        <v>7</v>
      </c>
      <c r="S20" s="7" t="s">
        <v>111</v>
      </c>
      <c r="T20" s="7" t="s">
        <v>112</v>
      </c>
      <c r="U20" s="7" t="n">
        <v>2</v>
      </c>
    </row>
    <row r="21" customFormat="false" ht="23.85" hidden="false" customHeight="false" outlineLevel="0" collapsed="false">
      <c r="A21" s="7" t="n">
        <v>17</v>
      </c>
      <c r="B21" s="7" t="s">
        <v>113</v>
      </c>
      <c r="C21" s="7" t="s">
        <v>114</v>
      </c>
      <c r="D21" s="7" t="s">
        <v>110</v>
      </c>
      <c r="E21" s="7" t="s">
        <v>27</v>
      </c>
      <c r="F21" s="7" t="s">
        <v>42</v>
      </c>
      <c r="G21" s="7" t="s">
        <v>29</v>
      </c>
      <c r="H21" s="8" t="n">
        <f aca="false">SUM(Part_Marks!C21:E21)</f>
        <v>7</v>
      </c>
      <c r="I21" s="8" t="n">
        <f aca="false">SUM(Part_Marks!F21:I21)</f>
        <v>8.5</v>
      </c>
      <c r="J21" s="8" t="n">
        <f aca="false">SUM(Part_Marks!J21:M21)</f>
        <v>0</v>
      </c>
      <c r="K21" s="8" t="n">
        <f aca="false">SUM(Part_Marks!N21:Q21)</f>
        <v>9</v>
      </c>
      <c r="L21" s="8" t="n">
        <f aca="false">IF(ISNUMBER(SEARCH("Q1",$G21)),0,H21)</f>
        <v>7</v>
      </c>
      <c r="M21" s="8" t="n">
        <f aca="false">IF(ISNUMBER(SEARCH("Q2",$G21)),0,I21)</f>
        <v>8.5</v>
      </c>
      <c r="N21" s="8" t="n">
        <f aca="false">IF(ISNUMBER(SEARCH("Q3",$G21)),0,J21)</f>
        <v>0</v>
      </c>
      <c r="O21" s="8" t="n">
        <f aca="false">IF(ISNUMBER(SEARCH("Q4",$G21)),0,K21)</f>
        <v>9</v>
      </c>
      <c r="P21" s="9" t="n">
        <f aca="false">LARGE(L21:O21,1)+LARGE(L21:O21,2)+LARGE(L21:O21,3)</f>
        <v>24.5</v>
      </c>
      <c r="Q21" s="10" t="n">
        <f aca="false">COUNTIFS(Error_Log!$A:$A,$B21,Error_Log!$F:$F,"Error")</f>
        <v>4</v>
      </c>
      <c r="R21" s="11" t="n">
        <v>11</v>
      </c>
      <c r="S21" s="7" t="s">
        <v>103</v>
      </c>
      <c r="T21" s="7" t="s">
        <v>115</v>
      </c>
      <c r="U21" s="7" t="n">
        <v>2</v>
      </c>
    </row>
    <row r="22" customFormat="false" ht="23.85" hidden="false" customHeight="false" outlineLevel="0" collapsed="false">
      <c r="A22" s="7" t="n">
        <v>18</v>
      </c>
      <c r="B22" s="7" t="s">
        <v>116</v>
      </c>
      <c r="C22" s="7" t="s">
        <v>117</v>
      </c>
      <c r="D22" s="7" t="s">
        <v>110</v>
      </c>
      <c r="E22" s="7" t="s">
        <v>35</v>
      </c>
      <c r="F22" s="7" t="s">
        <v>42</v>
      </c>
      <c r="G22" s="7" t="s">
        <v>29</v>
      </c>
      <c r="H22" s="8" t="n">
        <f aca="false">SUM(Part_Marks!C22:E22)</f>
        <v>6</v>
      </c>
      <c r="I22" s="8" t="n">
        <f aca="false">SUM(Part_Marks!F22:I22)</f>
        <v>6.5</v>
      </c>
      <c r="J22" s="8" t="n">
        <f aca="false">SUM(Part_Marks!J22:M22)</f>
        <v>0</v>
      </c>
      <c r="K22" s="8" t="n">
        <f aca="false">SUM(Part_Marks!N22:Q22)</f>
        <v>8.5</v>
      </c>
      <c r="L22" s="8" t="n">
        <f aca="false">IF(ISNUMBER(SEARCH("Q1",$G22)),0,H22)</f>
        <v>6</v>
      </c>
      <c r="M22" s="8" t="n">
        <f aca="false">IF(ISNUMBER(SEARCH("Q2",$G22)),0,I22)</f>
        <v>6.5</v>
      </c>
      <c r="N22" s="8" t="n">
        <f aca="false">IF(ISNUMBER(SEARCH("Q3",$G22)),0,J22)</f>
        <v>0</v>
      </c>
      <c r="O22" s="8" t="n">
        <f aca="false">IF(ISNUMBER(SEARCH("Q4",$G22)),0,K22)</f>
        <v>8.5</v>
      </c>
      <c r="P22" s="9" t="n">
        <f aca="false">LARGE(L22:O22,1)+LARGE(L22:O22,2)+LARGE(L22:O22,3)</f>
        <v>21</v>
      </c>
      <c r="Q22" s="10" t="n">
        <f aca="false">COUNTIFS(Error_Log!$A:$A,$B22,Error_Log!$F:$F,"Error")</f>
        <v>8</v>
      </c>
      <c r="R22" s="11" t="n">
        <v>2</v>
      </c>
      <c r="S22" s="7" t="s">
        <v>111</v>
      </c>
      <c r="T22" s="7" t="s">
        <v>118</v>
      </c>
      <c r="U22" s="7" t="n">
        <v>2</v>
      </c>
    </row>
    <row r="23" customFormat="false" ht="23.85" hidden="false" customHeight="false" outlineLevel="0" collapsed="false">
      <c r="A23" s="7" t="n">
        <v>19</v>
      </c>
      <c r="B23" s="7" t="s">
        <v>119</v>
      </c>
      <c r="C23" s="7" t="s">
        <v>120</v>
      </c>
      <c r="D23" s="7" t="s">
        <v>121</v>
      </c>
      <c r="E23" s="7" t="s">
        <v>35</v>
      </c>
      <c r="F23" s="7" t="s">
        <v>28</v>
      </c>
      <c r="G23" s="7" t="s">
        <v>29</v>
      </c>
      <c r="H23" s="8" t="n">
        <f aca="false">SUM(Part_Marks!C23:E23)</f>
        <v>5</v>
      </c>
      <c r="I23" s="8" t="n">
        <f aca="false">SUM(Part_Marks!F23:I23)</f>
        <v>5</v>
      </c>
      <c r="J23" s="8" t="n">
        <f aca="false">SUM(Part_Marks!J23:M23)</f>
        <v>6.5</v>
      </c>
      <c r="K23" s="8" t="n">
        <f aca="false">SUM(Part_Marks!N23:Q23)</f>
        <v>0</v>
      </c>
      <c r="L23" s="8" t="n">
        <f aca="false">IF(ISNUMBER(SEARCH("Q1",$G23)),0,H23)</f>
        <v>5</v>
      </c>
      <c r="M23" s="8" t="n">
        <f aca="false">IF(ISNUMBER(SEARCH("Q2",$G23)),0,I23)</f>
        <v>5</v>
      </c>
      <c r="N23" s="8" t="n">
        <f aca="false">IF(ISNUMBER(SEARCH("Q3",$G23)),0,J23)</f>
        <v>6.5</v>
      </c>
      <c r="O23" s="8" t="n">
        <f aca="false">IF(ISNUMBER(SEARCH("Q4",$G23)),0,K23)</f>
        <v>0</v>
      </c>
      <c r="P23" s="9" t="n">
        <f aca="false">LARGE(L23:O23,1)+LARGE(L23:O23,2)+LARGE(L23:O23,3)</f>
        <v>16.5</v>
      </c>
      <c r="Q23" s="10" t="n">
        <f aca="false">COUNTIFS(Error_Log!$A:$A,$B23,Error_Log!$F:$F,"Error")</f>
        <v>9</v>
      </c>
      <c r="R23" s="11" t="n">
        <v>12</v>
      </c>
      <c r="S23" s="7" t="s">
        <v>111</v>
      </c>
      <c r="T23" s="7" t="s">
        <v>122</v>
      </c>
      <c r="U23" s="7" t="n">
        <v>2</v>
      </c>
    </row>
    <row r="24" customFormat="false" ht="23.85" hidden="false" customHeight="false" outlineLevel="0" collapsed="false">
      <c r="A24" s="7" t="n">
        <v>20</v>
      </c>
      <c r="B24" s="7" t="s">
        <v>123</v>
      </c>
      <c r="C24" s="7" t="s">
        <v>124</v>
      </c>
      <c r="D24" s="7" t="s">
        <v>121</v>
      </c>
      <c r="E24" s="7" t="s">
        <v>35</v>
      </c>
      <c r="F24" s="7" t="s">
        <v>42</v>
      </c>
      <c r="G24" s="7" t="s">
        <v>29</v>
      </c>
      <c r="H24" s="8" t="n">
        <f aca="false">SUM(Part_Marks!C24:E24)</f>
        <v>6.5</v>
      </c>
      <c r="I24" s="8" t="n">
        <f aca="false">SUM(Part_Marks!F24:I24)</f>
        <v>4</v>
      </c>
      <c r="J24" s="8" t="n">
        <f aca="false">SUM(Part_Marks!J24:M24)</f>
        <v>0</v>
      </c>
      <c r="K24" s="8" t="n">
        <f aca="false">SUM(Part_Marks!N24:Q24)</f>
        <v>6</v>
      </c>
      <c r="L24" s="8" t="n">
        <f aca="false">IF(ISNUMBER(SEARCH("Q1",$G24)),0,H24)</f>
        <v>6.5</v>
      </c>
      <c r="M24" s="8" t="n">
        <f aca="false">IF(ISNUMBER(SEARCH("Q2",$G24)),0,I24)</f>
        <v>4</v>
      </c>
      <c r="N24" s="8" t="n">
        <f aca="false">IF(ISNUMBER(SEARCH("Q3",$G24)),0,J24)</f>
        <v>0</v>
      </c>
      <c r="O24" s="8" t="n">
        <f aca="false">IF(ISNUMBER(SEARCH("Q4",$G24)),0,K24)</f>
        <v>6</v>
      </c>
      <c r="P24" s="9" t="n">
        <f aca="false">LARGE(L24:O24,1)+LARGE(L24:O24,2)+LARGE(L24:O24,3)</f>
        <v>16.5</v>
      </c>
      <c r="Q24" s="10" t="n">
        <f aca="false">COUNTIFS(Error_Log!$A:$A,$B24,Error_Log!$F:$F,"Error")</f>
        <v>9</v>
      </c>
      <c r="R24" s="11" t="n">
        <v>7</v>
      </c>
      <c r="S24" s="7" t="s">
        <v>111</v>
      </c>
      <c r="T24" s="7" t="s">
        <v>125</v>
      </c>
      <c r="U24" s="7" t="n">
        <v>2</v>
      </c>
    </row>
    <row r="25" customFormat="false" ht="23.85" hidden="false" customHeight="false" outlineLevel="0" collapsed="false">
      <c r="A25" s="7" t="n">
        <v>21</v>
      </c>
      <c r="B25" s="7" t="s">
        <v>126</v>
      </c>
      <c r="C25" s="7" t="s">
        <v>127</v>
      </c>
      <c r="D25" s="7" t="s">
        <v>128</v>
      </c>
      <c r="E25" s="7" t="s">
        <v>35</v>
      </c>
      <c r="F25" s="7" t="s">
        <v>36</v>
      </c>
      <c r="G25" s="7" t="s">
        <v>29</v>
      </c>
      <c r="H25" s="8" t="n">
        <f aca="false">SUM(Part_Marks!C25:E25)</f>
        <v>0</v>
      </c>
      <c r="I25" s="8" t="n">
        <f aca="false">SUM(Part_Marks!F25:I25)</f>
        <v>4</v>
      </c>
      <c r="J25" s="8" t="n">
        <f aca="false">SUM(Part_Marks!J25:M25)</f>
        <v>7</v>
      </c>
      <c r="K25" s="8" t="n">
        <f aca="false">SUM(Part_Marks!N25:Q25)</f>
        <v>7</v>
      </c>
      <c r="L25" s="8" t="n">
        <f aca="false">IF(ISNUMBER(SEARCH("Q1",$G25)),0,H25)</f>
        <v>0</v>
      </c>
      <c r="M25" s="8" t="n">
        <f aca="false">IF(ISNUMBER(SEARCH("Q2",$G25)),0,I25)</f>
        <v>4</v>
      </c>
      <c r="N25" s="8" t="n">
        <f aca="false">IF(ISNUMBER(SEARCH("Q3",$G25)),0,J25)</f>
        <v>7</v>
      </c>
      <c r="O25" s="8" t="n">
        <f aca="false">IF(ISNUMBER(SEARCH("Q4",$G25)),0,K25)</f>
        <v>7</v>
      </c>
      <c r="P25" s="9" t="n">
        <f aca="false">LARGE(L25:O25,1)+LARGE(L25:O25,2)+LARGE(L25:O25,3)</f>
        <v>18</v>
      </c>
      <c r="Q25" s="10" t="n">
        <f aca="false">COUNTIFS(Error_Log!$A:$A,$B25,Error_Log!$F:$F,"Error")</f>
        <v>8</v>
      </c>
      <c r="R25" s="11" t="n">
        <v>10</v>
      </c>
      <c r="S25" s="7" t="s">
        <v>129</v>
      </c>
      <c r="T25" s="7" t="s">
        <v>130</v>
      </c>
      <c r="U25" s="7" t="n">
        <v>2</v>
      </c>
    </row>
    <row r="26" customFormat="false" ht="23.85" hidden="false" customHeight="false" outlineLevel="0" collapsed="false">
      <c r="A26" s="7" t="n">
        <v>22</v>
      </c>
      <c r="B26" s="7" t="s">
        <v>131</v>
      </c>
      <c r="C26" s="7" t="s">
        <v>132</v>
      </c>
      <c r="D26" s="7" t="s">
        <v>133</v>
      </c>
      <c r="E26" s="7" t="s">
        <v>27</v>
      </c>
      <c r="F26" s="7" t="s">
        <v>134</v>
      </c>
      <c r="G26" s="7" t="s">
        <v>29</v>
      </c>
      <c r="H26" s="8" t="n">
        <f aca="false">SUM(Part_Marks!C26:E26)</f>
        <v>9.5</v>
      </c>
      <c r="I26" s="8" t="n">
        <f aca="false">SUM(Part_Marks!F26:I26)</f>
        <v>0</v>
      </c>
      <c r="J26" s="8" t="n">
        <f aca="false">SUM(Part_Marks!J26:M26)</f>
        <v>5.5</v>
      </c>
      <c r="K26" s="8" t="n">
        <f aca="false">SUM(Part_Marks!N26:Q26)</f>
        <v>0</v>
      </c>
      <c r="L26" s="8" t="n">
        <f aca="false">IF(ISNUMBER(SEARCH("Q1",$G26)),0,H26)</f>
        <v>9.5</v>
      </c>
      <c r="M26" s="8" t="n">
        <f aca="false">IF(ISNUMBER(SEARCH("Q2",$G26)),0,I26)</f>
        <v>0</v>
      </c>
      <c r="N26" s="8" t="n">
        <f aca="false">IF(ISNUMBER(SEARCH("Q3",$G26)),0,J26)</f>
        <v>5.5</v>
      </c>
      <c r="O26" s="8" t="n">
        <f aca="false">IF(ISNUMBER(SEARCH("Q4",$G26)),0,K26)</f>
        <v>0</v>
      </c>
      <c r="P26" s="9" t="n">
        <f aca="false">LARGE(L26:O26,1)+LARGE(L26:O26,2)+LARGE(L26:O26,3)</f>
        <v>15</v>
      </c>
      <c r="Q26" s="10" t="n">
        <f aca="false">COUNTIFS(Error_Log!$A:$A,$B26,Error_Log!$F:$F,"Error")</f>
        <v>4</v>
      </c>
      <c r="R26" s="11" t="n">
        <v>9</v>
      </c>
      <c r="S26" s="7" t="s">
        <v>135</v>
      </c>
      <c r="T26" s="7" t="s">
        <v>136</v>
      </c>
      <c r="U26" s="7" t="n">
        <v>2</v>
      </c>
    </row>
    <row r="27" customFormat="false" ht="23.85" hidden="false" customHeight="false" outlineLevel="0" collapsed="false">
      <c r="A27" s="7" t="n">
        <v>23</v>
      </c>
      <c r="B27" s="7" t="s">
        <v>137</v>
      </c>
      <c r="C27" s="7" t="s">
        <v>138</v>
      </c>
      <c r="D27" s="7" t="s">
        <v>139</v>
      </c>
      <c r="E27" s="7" t="s">
        <v>27</v>
      </c>
      <c r="F27" s="7" t="s">
        <v>48</v>
      </c>
      <c r="G27" s="7" t="s">
        <v>140</v>
      </c>
      <c r="H27" s="8" t="n">
        <f aca="false">SUM(Part_Marks!C27:E27)</f>
        <v>10</v>
      </c>
      <c r="I27" s="8" t="n">
        <f aca="false">SUM(Part_Marks!F27:I27)</f>
        <v>7</v>
      </c>
      <c r="J27" s="8" t="n">
        <f aca="false">SUM(Part_Marks!J27:M27)</f>
        <v>7</v>
      </c>
      <c r="K27" s="8" t="n">
        <f aca="false">SUM(Part_Marks!N27:Q27)</f>
        <v>10</v>
      </c>
      <c r="L27" s="8" t="n">
        <f aca="false">IF(ISNUMBER(SEARCH("Q1",$G27)),0,H27)</f>
        <v>10</v>
      </c>
      <c r="M27" s="8" t="n">
        <f aca="false">IF(ISNUMBER(SEARCH("Q2",$G27)),0,I27)</f>
        <v>0</v>
      </c>
      <c r="N27" s="8" t="n">
        <f aca="false">IF(ISNUMBER(SEARCH("Q3",$G27)),0,J27)</f>
        <v>7</v>
      </c>
      <c r="O27" s="8" t="n">
        <f aca="false">IF(ISNUMBER(SEARCH("Q4",$G27)),0,K27)</f>
        <v>10</v>
      </c>
      <c r="P27" s="9" t="n">
        <f aca="false">LARGE(L27:O27,1)+LARGE(L27:O27,2)+LARGE(L27:O27,3)</f>
        <v>27</v>
      </c>
      <c r="Q27" s="10" t="n">
        <f aca="false">COUNTIFS(Error_Log!$A:$A,$B27,Error_Log!$F:$F,"Error")</f>
        <v>5</v>
      </c>
      <c r="R27" s="11" t="n">
        <v>20</v>
      </c>
      <c r="S27" s="7" t="s">
        <v>141</v>
      </c>
      <c r="T27" s="7" t="s">
        <v>142</v>
      </c>
      <c r="U27" s="7" t="n">
        <v>2</v>
      </c>
    </row>
    <row r="28" customFormat="false" ht="23.85" hidden="false" customHeight="false" outlineLevel="0" collapsed="false">
      <c r="A28" s="7" t="n">
        <v>24</v>
      </c>
      <c r="B28" s="7" t="s">
        <v>143</v>
      </c>
      <c r="C28" s="7" t="s">
        <v>144</v>
      </c>
      <c r="D28" s="7" t="s">
        <v>145</v>
      </c>
      <c r="E28" s="7" t="s">
        <v>27</v>
      </c>
      <c r="F28" s="7" t="s">
        <v>48</v>
      </c>
      <c r="G28" s="7" t="s">
        <v>29</v>
      </c>
      <c r="H28" s="8" t="n">
        <f aca="false">SUM(Part_Marks!C28:E28)</f>
        <v>10</v>
      </c>
      <c r="I28" s="8" t="n">
        <f aca="false">SUM(Part_Marks!F28:I28)</f>
        <v>8.5</v>
      </c>
      <c r="J28" s="8" t="n">
        <f aca="false">SUM(Part_Marks!J28:M28)</f>
        <v>8.5</v>
      </c>
      <c r="K28" s="8" t="n">
        <f aca="false">SUM(Part_Marks!N28:Q28)</f>
        <v>7.5</v>
      </c>
      <c r="L28" s="8" t="n">
        <f aca="false">IF(ISNUMBER(SEARCH("Q1",$G28)),0,H28)</f>
        <v>10</v>
      </c>
      <c r="M28" s="8" t="n">
        <f aca="false">IF(ISNUMBER(SEARCH("Q2",$G28)),0,I28)</f>
        <v>8.5</v>
      </c>
      <c r="N28" s="8" t="n">
        <f aca="false">IF(ISNUMBER(SEARCH("Q3",$G28)),0,J28)</f>
        <v>8.5</v>
      </c>
      <c r="O28" s="8" t="n">
        <f aca="false">IF(ISNUMBER(SEARCH("Q4",$G28)),0,K28)</f>
        <v>7.5</v>
      </c>
      <c r="P28" s="9" t="n">
        <f aca="false">LARGE(L28:O28,1)+LARGE(L28:O28,2)+LARGE(L28:O28,3)</f>
        <v>27</v>
      </c>
      <c r="Q28" s="10" t="n">
        <f aca="false">COUNTIFS(Error_Log!$A:$A,$B28,Error_Log!$F:$F,"Error")</f>
        <v>6</v>
      </c>
      <c r="R28" s="11" t="n">
        <v>18</v>
      </c>
      <c r="S28" s="7" t="s">
        <v>146</v>
      </c>
      <c r="T28" s="7" t="s">
        <v>147</v>
      </c>
      <c r="U28" s="7" t="n">
        <v>2</v>
      </c>
    </row>
    <row r="29" customFormat="false" ht="23.85" hidden="false" customHeight="false" outlineLevel="0" collapsed="false">
      <c r="A29" s="7" t="n">
        <v>25</v>
      </c>
      <c r="B29" s="7" t="s">
        <v>148</v>
      </c>
      <c r="C29" s="7" t="s">
        <v>149</v>
      </c>
      <c r="D29" s="7" t="s">
        <v>97</v>
      </c>
      <c r="E29" s="7" t="s">
        <v>27</v>
      </c>
      <c r="F29" s="7" t="s">
        <v>36</v>
      </c>
      <c r="G29" s="7" t="s">
        <v>29</v>
      </c>
      <c r="H29" s="8" t="n">
        <f aca="false">SUM(Part_Marks!C29:E29)</f>
        <v>0</v>
      </c>
      <c r="I29" s="8" t="n">
        <f aca="false">SUM(Part_Marks!F29:I29)</f>
        <v>9</v>
      </c>
      <c r="J29" s="8" t="n">
        <f aca="false">SUM(Part_Marks!J29:M29)</f>
        <v>10</v>
      </c>
      <c r="K29" s="8" t="n">
        <f aca="false">SUM(Part_Marks!N29:Q29)</f>
        <v>10</v>
      </c>
      <c r="L29" s="8" t="n">
        <f aca="false">IF(ISNUMBER(SEARCH("Q1",$G29)),0,H29)</f>
        <v>0</v>
      </c>
      <c r="M29" s="8" t="n">
        <f aca="false">IF(ISNUMBER(SEARCH("Q2",$G29)),0,I29)</f>
        <v>9</v>
      </c>
      <c r="N29" s="8" t="n">
        <f aca="false">IF(ISNUMBER(SEARCH("Q3",$G29)),0,J29)</f>
        <v>10</v>
      </c>
      <c r="O29" s="8" t="n">
        <f aca="false">IF(ISNUMBER(SEARCH("Q4",$G29)),0,K29)</f>
        <v>10</v>
      </c>
      <c r="P29" s="9" t="n">
        <f aca="false">LARGE(L29:O29,1)+LARGE(L29:O29,2)+LARGE(L29:O29,3)</f>
        <v>29</v>
      </c>
      <c r="Q29" s="10" t="n">
        <f aca="false">COUNTIFS(Error_Log!$A:$A,$B29,Error_Log!$F:$F,"Error")</f>
        <v>1</v>
      </c>
      <c r="R29" s="11" t="n">
        <v>7</v>
      </c>
      <c r="S29" s="7" t="s">
        <v>103</v>
      </c>
      <c r="T29" s="7" t="s">
        <v>150</v>
      </c>
      <c r="U29" s="7" t="n">
        <v>3</v>
      </c>
    </row>
    <row r="30" customFormat="false" ht="23.85" hidden="false" customHeight="false" outlineLevel="0" collapsed="false">
      <c r="A30" s="7" t="n">
        <v>26</v>
      </c>
      <c r="B30" s="7" t="s">
        <v>151</v>
      </c>
      <c r="C30" s="7" t="s">
        <v>152</v>
      </c>
      <c r="D30" s="7" t="s">
        <v>102</v>
      </c>
      <c r="E30" s="7" t="s">
        <v>35</v>
      </c>
      <c r="F30" s="7" t="s">
        <v>42</v>
      </c>
      <c r="G30" s="7" t="s">
        <v>29</v>
      </c>
      <c r="H30" s="8" t="n">
        <f aca="false">SUM(Part_Marks!C30:E30)</f>
        <v>8</v>
      </c>
      <c r="I30" s="8" t="n">
        <f aca="false">SUM(Part_Marks!F30:I30)</f>
        <v>9.5</v>
      </c>
      <c r="J30" s="8" t="n">
        <f aca="false">SUM(Part_Marks!J30:M30)</f>
        <v>0</v>
      </c>
      <c r="K30" s="8" t="n">
        <f aca="false">SUM(Part_Marks!N30:Q30)</f>
        <v>8.5</v>
      </c>
      <c r="L30" s="8" t="n">
        <f aca="false">IF(ISNUMBER(SEARCH("Q1",$G30)),0,H30)</f>
        <v>8</v>
      </c>
      <c r="M30" s="8" t="n">
        <f aca="false">IF(ISNUMBER(SEARCH("Q2",$G30)),0,I30)</f>
        <v>9.5</v>
      </c>
      <c r="N30" s="8" t="n">
        <f aca="false">IF(ISNUMBER(SEARCH("Q3",$G30)),0,J30)</f>
        <v>0</v>
      </c>
      <c r="O30" s="8" t="n">
        <f aca="false">IF(ISNUMBER(SEARCH("Q4",$G30)),0,K30)</f>
        <v>8.5</v>
      </c>
      <c r="P30" s="9" t="n">
        <f aca="false">LARGE(L30:O30,1)+LARGE(L30:O30,2)+LARGE(L30:O30,3)</f>
        <v>26</v>
      </c>
      <c r="Q30" s="10" t="n">
        <f aca="false">COUNTIFS(Error_Log!$A:$A,$B30,Error_Log!$F:$F,"Error")</f>
        <v>3</v>
      </c>
      <c r="R30" s="11" t="n">
        <v>3</v>
      </c>
      <c r="S30" s="7" t="s">
        <v>153</v>
      </c>
      <c r="T30" s="7" t="s">
        <v>154</v>
      </c>
      <c r="U30" s="7" t="n">
        <v>3</v>
      </c>
    </row>
    <row r="31" customFormat="false" ht="23.85" hidden="false" customHeight="false" outlineLevel="0" collapsed="false">
      <c r="A31" s="7" t="n">
        <v>27</v>
      </c>
      <c r="B31" s="7" t="s">
        <v>155</v>
      </c>
      <c r="C31" s="7" t="s">
        <v>156</v>
      </c>
      <c r="D31" s="7" t="s">
        <v>102</v>
      </c>
      <c r="E31" s="7" t="s">
        <v>27</v>
      </c>
      <c r="F31" s="7" t="s">
        <v>42</v>
      </c>
      <c r="G31" s="7" t="s">
        <v>29</v>
      </c>
      <c r="H31" s="8" t="n">
        <f aca="false">SUM(Part_Marks!C31:E31)</f>
        <v>7.5</v>
      </c>
      <c r="I31" s="8" t="n">
        <f aca="false">SUM(Part_Marks!F31:I31)</f>
        <v>9</v>
      </c>
      <c r="J31" s="8" t="n">
        <f aca="false">SUM(Part_Marks!J31:M31)</f>
        <v>0</v>
      </c>
      <c r="K31" s="8" t="n">
        <f aca="false">SUM(Part_Marks!N31:Q31)</f>
        <v>7</v>
      </c>
      <c r="L31" s="8" t="n">
        <f aca="false">IF(ISNUMBER(SEARCH("Q1",$G31)),0,H31)</f>
        <v>7.5</v>
      </c>
      <c r="M31" s="8" t="n">
        <f aca="false">IF(ISNUMBER(SEARCH("Q2",$G31)),0,I31)</f>
        <v>9</v>
      </c>
      <c r="N31" s="8" t="n">
        <f aca="false">IF(ISNUMBER(SEARCH("Q3",$G31)),0,J31)</f>
        <v>0</v>
      </c>
      <c r="O31" s="8" t="n">
        <f aca="false">IF(ISNUMBER(SEARCH("Q4",$G31)),0,K31)</f>
        <v>7</v>
      </c>
      <c r="P31" s="9" t="n">
        <f aca="false">LARGE(L31:O31,1)+LARGE(L31:O31,2)+LARGE(L31:O31,3)</f>
        <v>23.5</v>
      </c>
      <c r="Q31" s="10" t="n">
        <f aca="false">COUNTIFS(Error_Log!$A:$A,$B31,Error_Log!$F:$F,"Error")</f>
        <v>5</v>
      </c>
      <c r="R31" s="11" t="n">
        <v>5</v>
      </c>
      <c r="S31" s="7" t="s">
        <v>103</v>
      </c>
      <c r="T31" s="7" t="s">
        <v>157</v>
      </c>
      <c r="U31" s="7" t="n">
        <v>3</v>
      </c>
    </row>
    <row r="32" customFormat="false" ht="23.85" hidden="false" customHeight="false" outlineLevel="0" collapsed="false">
      <c r="A32" s="7" t="n">
        <v>28</v>
      </c>
      <c r="B32" s="7" t="s">
        <v>158</v>
      </c>
      <c r="C32" s="7" t="s">
        <v>159</v>
      </c>
      <c r="D32" s="7" t="s">
        <v>110</v>
      </c>
      <c r="E32" s="7" t="s">
        <v>35</v>
      </c>
      <c r="F32" s="7" t="s">
        <v>55</v>
      </c>
      <c r="G32" s="7" t="s">
        <v>29</v>
      </c>
      <c r="H32" s="8" t="n">
        <f aca="false">SUM(Part_Marks!C32:E32)</f>
        <v>9.5</v>
      </c>
      <c r="I32" s="8" t="n">
        <f aca="false">SUM(Part_Marks!F32:I32)</f>
        <v>0</v>
      </c>
      <c r="J32" s="8" t="n">
        <f aca="false">SUM(Part_Marks!J32:M32)</f>
        <v>9</v>
      </c>
      <c r="K32" s="8" t="n">
        <f aca="false">SUM(Part_Marks!N32:Q32)</f>
        <v>7.5</v>
      </c>
      <c r="L32" s="8" t="n">
        <f aca="false">IF(ISNUMBER(SEARCH("Q1",$G32)),0,H32)</f>
        <v>9.5</v>
      </c>
      <c r="M32" s="8" t="n">
        <f aca="false">IF(ISNUMBER(SEARCH("Q2",$G32)),0,I32)</f>
        <v>0</v>
      </c>
      <c r="N32" s="8" t="n">
        <f aca="false">IF(ISNUMBER(SEARCH("Q3",$G32)),0,J32)</f>
        <v>9</v>
      </c>
      <c r="O32" s="8" t="n">
        <f aca="false">IF(ISNUMBER(SEARCH("Q4",$G32)),0,K32)</f>
        <v>7.5</v>
      </c>
      <c r="P32" s="9" t="n">
        <f aca="false">LARGE(L32:O32,1)+LARGE(L32:O32,2)+LARGE(L32:O32,3)</f>
        <v>26</v>
      </c>
      <c r="Q32" s="10" t="n">
        <f aca="false">COUNTIFS(Error_Log!$A:$A,$B32,Error_Log!$F:$F,"Error")</f>
        <v>5</v>
      </c>
      <c r="R32" s="11" t="n">
        <v>10</v>
      </c>
      <c r="S32" s="7" t="s">
        <v>111</v>
      </c>
      <c r="T32" s="7" t="s">
        <v>160</v>
      </c>
      <c r="U32" s="7" t="n">
        <v>3</v>
      </c>
    </row>
    <row r="33" customFormat="false" ht="23.85" hidden="false" customHeight="false" outlineLevel="0" collapsed="false">
      <c r="A33" s="7" t="n">
        <v>29</v>
      </c>
      <c r="B33" s="7" t="s">
        <v>161</v>
      </c>
      <c r="C33" s="7" t="s">
        <v>162</v>
      </c>
      <c r="D33" s="7" t="s">
        <v>110</v>
      </c>
      <c r="E33" s="7" t="s">
        <v>35</v>
      </c>
      <c r="F33" s="7" t="s">
        <v>55</v>
      </c>
      <c r="G33" s="7" t="s">
        <v>29</v>
      </c>
      <c r="H33" s="8" t="n">
        <f aca="false">SUM(Part_Marks!C33:E33)</f>
        <v>7</v>
      </c>
      <c r="I33" s="8" t="n">
        <f aca="false">SUM(Part_Marks!F33:I33)</f>
        <v>0</v>
      </c>
      <c r="J33" s="8" t="n">
        <f aca="false">SUM(Part_Marks!J33:M33)</f>
        <v>3</v>
      </c>
      <c r="K33" s="8" t="n">
        <f aca="false">SUM(Part_Marks!N33:Q33)</f>
        <v>8.5</v>
      </c>
      <c r="L33" s="8" t="n">
        <f aca="false">IF(ISNUMBER(SEARCH("Q1",$G33)),0,H33)</f>
        <v>7</v>
      </c>
      <c r="M33" s="8" t="n">
        <f aca="false">IF(ISNUMBER(SEARCH("Q2",$G33)),0,I33)</f>
        <v>0</v>
      </c>
      <c r="N33" s="8" t="n">
        <f aca="false">IF(ISNUMBER(SEARCH("Q3",$G33)),0,J33)</f>
        <v>3</v>
      </c>
      <c r="O33" s="8" t="n">
        <f aca="false">IF(ISNUMBER(SEARCH("Q4",$G33)),0,K33)</f>
        <v>8.5</v>
      </c>
      <c r="P33" s="9" t="n">
        <f aca="false">LARGE(L33:O33,1)+LARGE(L33:O33,2)+LARGE(L33:O33,3)</f>
        <v>18.5</v>
      </c>
      <c r="Q33" s="10" t="n">
        <f aca="false">COUNTIFS(Error_Log!$A:$A,$B33,Error_Log!$F:$F,"Error")</f>
        <v>8</v>
      </c>
      <c r="R33" s="11" t="n">
        <v>8</v>
      </c>
      <c r="S33" s="7" t="s">
        <v>111</v>
      </c>
      <c r="T33" s="7" t="s">
        <v>163</v>
      </c>
      <c r="U33" s="7" t="n">
        <v>3</v>
      </c>
    </row>
    <row r="34" customFormat="false" ht="23.85" hidden="false" customHeight="false" outlineLevel="0" collapsed="false">
      <c r="A34" s="7" t="n">
        <v>30</v>
      </c>
      <c r="B34" s="7" t="s">
        <v>164</v>
      </c>
      <c r="C34" s="7" t="s">
        <v>165</v>
      </c>
      <c r="D34" s="7" t="s">
        <v>110</v>
      </c>
      <c r="E34" s="7" t="s">
        <v>35</v>
      </c>
      <c r="F34" s="7" t="s">
        <v>36</v>
      </c>
      <c r="G34" s="7" t="s">
        <v>29</v>
      </c>
      <c r="H34" s="8" t="n">
        <f aca="false">SUM(Part_Marks!C34:E34)</f>
        <v>0</v>
      </c>
      <c r="I34" s="8" t="n">
        <f aca="false">SUM(Part_Marks!F34:I34)</f>
        <v>6.5</v>
      </c>
      <c r="J34" s="8" t="n">
        <f aca="false">SUM(Part_Marks!J34:M34)</f>
        <v>6.5</v>
      </c>
      <c r="K34" s="8" t="n">
        <f aca="false">SUM(Part_Marks!N34:Q34)</f>
        <v>8</v>
      </c>
      <c r="L34" s="8" t="n">
        <f aca="false">IF(ISNUMBER(SEARCH("Q1",$G34)),0,H34)</f>
        <v>0</v>
      </c>
      <c r="M34" s="8" t="n">
        <f aca="false">IF(ISNUMBER(SEARCH("Q2",$G34)),0,I34)</f>
        <v>6.5</v>
      </c>
      <c r="N34" s="8" t="n">
        <f aca="false">IF(ISNUMBER(SEARCH("Q3",$G34)),0,J34)</f>
        <v>6.5</v>
      </c>
      <c r="O34" s="8" t="n">
        <f aca="false">IF(ISNUMBER(SEARCH("Q4",$G34)),0,K34)</f>
        <v>8</v>
      </c>
      <c r="P34" s="9" t="n">
        <f aca="false">LARGE(L34:O34,1)+LARGE(L34:O34,2)+LARGE(L34:O34,3)</f>
        <v>21</v>
      </c>
      <c r="Q34" s="10" t="n">
        <f aca="false">COUNTIFS(Error_Log!$A:$A,$B34,Error_Log!$F:$F,"Error")</f>
        <v>9</v>
      </c>
      <c r="R34" s="11" t="n">
        <v>7</v>
      </c>
      <c r="S34" s="7" t="s">
        <v>153</v>
      </c>
      <c r="T34" s="7" t="s">
        <v>166</v>
      </c>
      <c r="U34" s="7" t="n">
        <v>3</v>
      </c>
    </row>
    <row r="35" customFormat="false" ht="23.85" hidden="false" customHeight="false" outlineLevel="0" collapsed="false">
      <c r="A35" s="7" t="n">
        <v>31</v>
      </c>
      <c r="B35" s="7" t="s">
        <v>167</v>
      </c>
      <c r="C35" s="7" t="s">
        <v>168</v>
      </c>
      <c r="D35" s="7" t="s">
        <v>121</v>
      </c>
      <c r="E35" s="7" t="s">
        <v>35</v>
      </c>
      <c r="F35" s="7" t="s">
        <v>55</v>
      </c>
      <c r="G35" s="7" t="s">
        <v>29</v>
      </c>
      <c r="H35" s="8" t="n">
        <f aca="false">SUM(Part_Marks!C35:E35)</f>
        <v>5</v>
      </c>
      <c r="I35" s="8" t="n">
        <f aca="false">SUM(Part_Marks!F35:I35)</f>
        <v>0</v>
      </c>
      <c r="J35" s="8" t="n">
        <f aca="false">SUM(Part_Marks!J35:M35)</f>
        <v>4.5</v>
      </c>
      <c r="K35" s="8" t="n">
        <f aca="false">SUM(Part_Marks!N35:Q35)</f>
        <v>3</v>
      </c>
      <c r="L35" s="8" t="n">
        <f aca="false">IF(ISNUMBER(SEARCH("Q1",$G35)),0,H35)</f>
        <v>5</v>
      </c>
      <c r="M35" s="8" t="n">
        <f aca="false">IF(ISNUMBER(SEARCH("Q2",$G35)),0,I35)</f>
        <v>0</v>
      </c>
      <c r="N35" s="8" t="n">
        <f aca="false">IF(ISNUMBER(SEARCH("Q3",$G35)),0,J35)</f>
        <v>4.5</v>
      </c>
      <c r="O35" s="8" t="n">
        <f aca="false">IF(ISNUMBER(SEARCH("Q4",$G35)),0,K35)</f>
        <v>3</v>
      </c>
      <c r="P35" s="9" t="n">
        <f aca="false">LARGE(L35:O35,1)+LARGE(L35:O35,2)+LARGE(L35:O35,3)</f>
        <v>12.5</v>
      </c>
      <c r="Q35" s="10" t="n">
        <f aca="false">COUNTIFS(Error_Log!$A:$A,$B35,Error_Log!$F:$F,"Error")</f>
        <v>11</v>
      </c>
      <c r="R35" s="11" t="n">
        <v>12</v>
      </c>
      <c r="S35" s="7" t="s">
        <v>111</v>
      </c>
      <c r="T35" s="7" t="s">
        <v>169</v>
      </c>
      <c r="U35" s="7" t="n">
        <v>3</v>
      </c>
    </row>
    <row r="36" customFormat="false" ht="23.85" hidden="false" customHeight="false" outlineLevel="0" collapsed="false">
      <c r="A36" s="7" t="n">
        <v>32</v>
      </c>
      <c r="B36" s="7" t="s">
        <v>170</v>
      </c>
      <c r="C36" s="7" t="s">
        <v>171</v>
      </c>
      <c r="D36" s="7" t="s">
        <v>172</v>
      </c>
      <c r="E36" s="7" t="s">
        <v>35</v>
      </c>
      <c r="F36" s="7" t="s">
        <v>28</v>
      </c>
      <c r="G36" s="7" t="s">
        <v>29</v>
      </c>
      <c r="H36" s="8" t="n">
        <f aca="false">SUM(Part_Marks!C36:E36)</f>
        <v>7.5</v>
      </c>
      <c r="I36" s="8" t="n">
        <f aca="false">SUM(Part_Marks!F36:I36)</f>
        <v>9.5</v>
      </c>
      <c r="J36" s="8" t="n">
        <f aca="false">SUM(Part_Marks!J36:M36)</f>
        <v>8.5</v>
      </c>
      <c r="K36" s="8" t="n">
        <f aca="false">SUM(Part_Marks!N36:Q36)</f>
        <v>0</v>
      </c>
      <c r="L36" s="8" t="n">
        <f aca="false">IF(ISNUMBER(SEARCH("Q1",$G36)),0,H36)</f>
        <v>7.5</v>
      </c>
      <c r="M36" s="8" t="n">
        <f aca="false">IF(ISNUMBER(SEARCH("Q2",$G36)),0,I36)</f>
        <v>9.5</v>
      </c>
      <c r="N36" s="8" t="n">
        <f aca="false">IF(ISNUMBER(SEARCH("Q3",$G36)),0,J36)</f>
        <v>8.5</v>
      </c>
      <c r="O36" s="8" t="n">
        <f aca="false">IF(ISNUMBER(SEARCH("Q4",$G36)),0,K36)</f>
        <v>0</v>
      </c>
      <c r="P36" s="9" t="n">
        <f aca="false">LARGE(L36:O36,1)+LARGE(L36:O36,2)+LARGE(L36:O36,3)</f>
        <v>25.5</v>
      </c>
      <c r="Q36" s="10" t="n">
        <f aca="false">COUNTIFS(Error_Log!$A:$A,$B36,Error_Log!$F:$F,"Error")</f>
        <v>6</v>
      </c>
      <c r="R36" s="11" t="n">
        <v>7</v>
      </c>
      <c r="S36" s="7" t="s">
        <v>173</v>
      </c>
      <c r="T36" s="7" t="s">
        <v>174</v>
      </c>
      <c r="U36" s="7" t="n">
        <v>3</v>
      </c>
    </row>
    <row r="37" customFormat="false" ht="15" hidden="false" customHeight="false" outlineLevel="0" collapsed="false">
      <c r="A37" s="7" t="n">
        <v>33</v>
      </c>
      <c r="B37" s="7" t="s">
        <v>175</v>
      </c>
      <c r="C37" s="7" t="s">
        <v>176</v>
      </c>
      <c r="D37" s="7" t="s">
        <v>177</v>
      </c>
      <c r="E37" s="7" t="s">
        <v>27</v>
      </c>
      <c r="F37" s="7" t="s">
        <v>28</v>
      </c>
      <c r="G37" s="7" t="s">
        <v>29</v>
      </c>
      <c r="H37" s="8" t="n">
        <f aca="false">SUM(Part_Marks!C37:E37)</f>
        <v>10</v>
      </c>
      <c r="I37" s="8" t="n">
        <f aca="false">SUM(Part_Marks!F37:I37)</f>
        <v>9</v>
      </c>
      <c r="J37" s="8" t="n">
        <f aca="false">SUM(Part_Marks!J37:M37)</f>
        <v>9</v>
      </c>
      <c r="K37" s="8" t="n">
        <f aca="false">SUM(Part_Marks!N37:Q37)</f>
        <v>0</v>
      </c>
      <c r="L37" s="8" t="n">
        <f aca="false">IF(ISNUMBER(SEARCH("Q1",$G37)),0,H37)</f>
        <v>10</v>
      </c>
      <c r="M37" s="8" t="n">
        <f aca="false">IF(ISNUMBER(SEARCH("Q2",$G37)),0,I37)</f>
        <v>9</v>
      </c>
      <c r="N37" s="8" t="n">
        <f aca="false">IF(ISNUMBER(SEARCH("Q3",$G37)),0,J37)</f>
        <v>9</v>
      </c>
      <c r="O37" s="8" t="n">
        <f aca="false">IF(ISNUMBER(SEARCH("Q4",$G37)),0,K37)</f>
        <v>0</v>
      </c>
      <c r="P37" s="9" t="n">
        <f aca="false">LARGE(L37:O37,1)+LARGE(L37:O37,2)+LARGE(L37:O37,3)</f>
        <v>28</v>
      </c>
      <c r="Q37" s="10" t="n">
        <f aca="false">COUNTIFS(Error_Log!$A:$A,$B37,Error_Log!$F:$F,"Error")</f>
        <v>2</v>
      </c>
      <c r="R37" s="11" t="n">
        <v>18</v>
      </c>
      <c r="S37" s="7" t="s">
        <v>103</v>
      </c>
      <c r="T37" s="7" t="s">
        <v>178</v>
      </c>
      <c r="U37" s="7" t="n">
        <v>3</v>
      </c>
    </row>
    <row r="38" customFormat="false" ht="23.85" hidden="false" customHeight="false" outlineLevel="0" collapsed="false">
      <c r="A38" s="7" t="n">
        <v>34</v>
      </c>
      <c r="B38" s="7" t="s">
        <v>179</v>
      </c>
      <c r="C38" s="7" t="s">
        <v>180</v>
      </c>
      <c r="D38" s="7" t="s">
        <v>133</v>
      </c>
      <c r="E38" s="7" t="s">
        <v>27</v>
      </c>
      <c r="F38" s="7" t="s">
        <v>181</v>
      </c>
      <c r="G38" s="7" t="s">
        <v>29</v>
      </c>
      <c r="H38" s="8" t="n">
        <f aca="false">SUM(Part_Marks!C38:E38)</f>
        <v>0</v>
      </c>
      <c r="I38" s="8" t="n">
        <f aca="false">SUM(Part_Marks!F38:I38)</f>
        <v>0</v>
      </c>
      <c r="J38" s="8" t="n">
        <f aca="false">SUM(Part_Marks!J38:M38)</f>
        <v>8.5</v>
      </c>
      <c r="K38" s="8" t="n">
        <f aca="false">SUM(Part_Marks!N38:Q38)</f>
        <v>10</v>
      </c>
      <c r="L38" s="8" t="n">
        <f aca="false">IF(ISNUMBER(SEARCH("Q1",$G38)),0,H38)</f>
        <v>0</v>
      </c>
      <c r="M38" s="8" t="n">
        <f aca="false">IF(ISNUMBER(SEARCH("Q2",$G38)),0,I38)</f>
        <v>0</v>
      </c>
      <c r="N38" s="8" t="n">
        <f aca="false">IF(ISNUMBER(SEARCH("Q3",$G38)),0,J38)</f>
        <v>8.5</v>
      </c>
      <c r="O38" s="8" t="n">
        <f aca="false">IF(ISNUMBER(SEARCH("Q4",$G38)),0,K38)</f>
        <v>10</v>
      </c>
      <c r="P38" s="9" t="n">
        <f aca="false">LARGE(L38:O38,1)+LARGE(L38:O38,2)+LARGE(L38:O38,3)</f>
        <v>18.5</v>
      </c>
      <c r="Q38" s="10" t="n">
        <f aca="false">COUNTIFS(Error_Log!$A:$A,$B38,Error_Log!$F:$F,"Error")</f>
        <v>1</v>
      </c>
      <c r="R38" s="11" t="n">
        <v>11</v>
      </c>
      <c r="S38" s="7" t="s">
        <v>135</v>
      </c>
      <c r="T38" s="7" t="s">
        <v>182</v>
      </c>
      <c r="U38" s="7" t="n">
        <v>3</v>
      </c>
    </row>
    <row r="39" customFormat="false" ht="23.85" hidden="false" customHeight="false" outlineLevel="0" collapsed="false">
      <c r="A39" s="7" t="n">
        <v>35</v>
      </c>
      <c r="B39" s="7" t="s">
        <v>183</v>
      </c>
      <c r="C39" s="7" t="s">
        <v>184</v>
      </c>
      <c r="D39" s="7" t="s">
        <v>139</v>
      </c>
      <c r="E39" s="7" t="s">
        <v>27</v>
      </c>
      <c r="F39" s="7" t="s">
        <v>48</v>
      </c>
      <c r="G39" s="7" t="s">
        <v>185</v>
      </c>
      <c r="H39" s="8" t="n">
        <f aca="false">SUM(Part_Marks!C39:E39)</f>
        <v>7.5</v>
      </c>
      <c r="I39" s="8" t="n">
        <f aca="false">SUM(Part_Marks!F39:I39)</f>
        <v>9</v>
      </c>
      <c r="J39" s="8" t="n">
        <f aca="false">SUM(Part_Marks!J39:M39)</f>
        <v>9</v>
      </c>
      <c r="K39" s="8" t="n">
        <f aca="false">SUM(Part_Marks!N39:Q39)</f>
        <v>8</v>
      </c>
      <c r="L39" s="8" t="n">
        <f aca="false">IF(ISNUMBER(SEARCH("Q1",$G39)),0,H39)</f>
        <v>0</v>
      </c>
      <c r="M39" s="8" t="n">
        <f aca="false">IF(ISNUMBER(SEARCH("Q2",$G39)),0,I39)</f>
        <v>9</v>
      </c>
      <c r="N39" s="8" t="n">
        <f aca="false">IF(ISNUMBER(SEARCH("Q3",$G39)),0,J39)</f>
        <v>9</v>
      </c>
      <c r="O39" s="8" t="n">
        <f aca="false">IF(ISNUMBER(SEARCH("Q4",$G39)),0,K39)</f>
        <v>8</v>
      </c>
      <c r="P39" s="9" t="n">
        <f aca="false">LARGE(L39:O39,1)+LARGE(L39:O39,2)+LARGE(L39:O39,3)</f>
        <v>26</v>
      </c>
      <c r="Q39" s="10" t="n">
        <f aca="false">COUNTIFS(Error_Log!$A:$A,$B39,Error_Log!$F:$F,"Error")</f>
        <v>6</v>
      </c>
      <c r="R39" s="11" t="n">
        <v>17</v>
      </c>
      <c r="S39" s="7" t="s">
        <v>186</v>
      </c>
      <c r="T39" s="7" t="s">
        <v>187</v>
      </c>
      <c r="U39" s="7" t="n">
        <v>3</v>
      </c>
    </row>
    <row r="40" customFormat="false" ht="23.85" hidden="false" customHeight="false" outlineLevel="0" collapsed="false">
      <c r="A40" s="7" t="n">
        <v>36</v>
      </c>
      <c r="B40" s="7" t="s">
        <v>188</v>
      </c>
      <c r="C40" s="7" t="s">
        <v>189</v>
      </c>
      <c r="D40" s="7" t="s">
        <v>145</v>
      </c>
      <c r="E40" s="7" t="s">
        <v>27</v>
      </c>
      <c r="F40" s="7" t="s">
        <v>48</v>
      </c>
      <c r="G40" s="7" t="s">
        <v>29</v>
      </c>
      <c r="H40" s="8" t="n">
        <f aca="false">SUM(Part_Marks!C40:E40)</f>
        <v>9</v>
      </c>
      <c r="I40" s="8" t="n">
        <f aca="false">SUM(Part_Marks!F40:I40)</f>
        <v>8</v>
      </c>
      <c r="J40" s="8" t="n">
        <f aca="false">SUM(Part_Marks!J40:M40)</f>
        <v>7</v>
      </c>
      <c r="K40" s="8" t="n">
        <f aca="false">SUM(Part_Marks!N40:Q40)</f>
        <v>10</v>
      </c>
      <c r="L40" s="8" t="n">
        <f aca="false">IF(ISNUMBER(SEARCH("Q1",$G40)),0,H40)</f>
        <v>9</v>
      </c>
      <c r="M40" s="8" t="n">
        <f aca="false">IF(ISNUMBER(SEARCH("Q2",$G40)),0,I40)</f>
        <v>8</v>
      </c>
      <c r="N40" s="8" t="n">
        <f aca="false">IF(ISNUMBER(SEARCH("Q3",$G40)),0,J40)</f>
        <v>7</v>
      </c>
      <c r="O40" s="8" t="n">
        <f aca="false">IF(ISNUMBER(SEARCH("Q4",$G40)),0,K40)</f>
        <v>10</v>
      </c>
      <c r="P40" s="9" t="n">
        <f aca="false">LARGE(L40:O40,1)+LARGE(L40:O40,2)+LARGE(L40:O40,3)</f>
        <v>27</v>
      </c>
      <c r="Q40" s="10" t="n">
        <f aca="false">COUNTIFS(Error_Log!$A:$A,$B40,Error_Log!$F:$F,"Error")</f>
        <v>5</v>
      </c>
      <c r="R40" s="11" t="n">
        <v>13</v>
      </c>
      <c r="S40" s="7" t="s">
        <v>190</v>
      </c>
      <c r="T40" s="7" t="s">
        <v>191</v>
      </c>
      <c r="U40" s="7" t="n">
        <v>3</v>
      </c>
    </row>
    <row r="41" customFormat="false" ht="23.85" hidden="false" customHeight="false" outlineLevel="0" collapsed="false">
      <c r="A41" s="7" t="n">
        <v>37</v>
      </c>
      <c r="B41" s="7" t="s">
        <v>192</v>
      </c>
      <c r="C41" s="7" t="s">
        <v>193</v>
      </c>
      <c r="D41" s="7" t="s">
        <v>102</v>
      </c>
      <c r="E41" s="7" t="s">
        <v>27</v>
      </c>
      <c r="F41" s="7" t="s">
        <v>55</v>
      </c>
      <c r="G41" s="7" t="s">
        <v>29</v>
      </c>
      <c r="H41" s="8" t="n">
        <f aca="false">SUM(Part_Marks!C41:E41)</f>
        <v>9</v>
      </c>
      <c r="I41" s="8" t="n">
        <f aca="false">SUM(Part_Marks!F41:I41)</f>
        <v>0</v>
      </c>
      <c r="J41" s="8" t="n">
        <f aca="false">SUM(Part_Marks!J41:M41)</f>
        <v>8</v>
      </c>
      <c r="K41" s="8" t="n">
        <f aca="false">SUM(Part_Marks!N41:Q41)</f>
        <v>7</v>
      </c>
      <c r="L41" s="8" t="n">
        <f aca="false">IF(ISNUMBER(SEARCH("Q1",$G41)),0,H41)</f>
        <v>9</v>
      </c>
      <c r="M41" s="8" t="n">
        <f aca="false">IF(ISNUMBER(SEARCH("Q2",$G41)),0,I41)</f>
        <v>0</v>
      </c>
      <c r="N41" s="8" t="n">
        <f aca="false">IF(ISNUMBER(SEARCH("Q3",$G41)),0,J41)</f>
        <v>8</v>
      </c>
      <c r="O41" s="8" t="n">
        <f aca="false">IF(ISNUMBER(SEARCH("Q4",$G41)),0,K41)</f>
        <v>7</v>
      </c>
      <c r="P41" s="9" t="n">
        <f aca="false">LARGE(L41:O41,1)+LARGE(L41:O41,2)+LARGE(L41:O41,3)</f>
        <v>24</v>
      </c>
      <c r="Q41" s="10" t="n">
        <f aca="false">COUNTIFS(Error_Log!$A:$A,$B41,Error_Log!$F:$F,"Error")</f>
        <v>5</v>
      </c>
      <c r="R41" s="11" t="n">
        <v>4</v>
      </c>
      <c r="S41" s="7" t="s">
        <v>98</v>
      </c>
      <c r="T41" s="7" t="s">
        <v>194</v>
      </c>
      <c r="U41" s="7" t="n">
        <v>4</v>
      </c>
    </row>
    <row r="42" customFormat="false" ht="23.85" hidden="false" customHeight="false" outlineLevel="0" collapsed="false">
      <c r="A42" s="7" t="n">
        <v>38</v>
      </c>
      <c r="B42" s="7" t="s">
        <v>195</v>
      </c>
      <c r="C42" s="7" t="s">
        <v>196</v>
      </c>
      <c r="D42" s="7" t="s">
        <v>102</v>
      </c>
      <c r="E42" s="7" t="s">
        <v>27</v>
      </c>
      <c r="F42" s="7" t="s">
        <v>55</v>
      </c>
      <c r="G42" s="7" t="s">
        <v>29</v>
      </c>
      <c r="H42" s="8" t="n">
        <f aca="false">SUM(Part_Marks!C42:E42)</f>
        <v>10</v>
      </c>
      <c r="I42" s="8" t="n">
        <f aca="false">SUM(Part_Marks!F42:I42)</f>
        <v>0</v>
      </c>
      <c r="J42" s="8" t="n">
        <f aca="false">SUM(Part_Marks!J42:M42)</f>
        <v>9</v>
      </c>
      <c r="K42" s="8" t="n">
        <f aca="false">SUM(Part_Marks!N42:Q42)</f>
        <v>9</v>
      </c>
      <c r="L42" s="8" t="n">
        <f aca="false">IF(ISNUMBER(SEARCH("Q1",$G42)),0,H42)</f>
        <v>10</v>
      </c>
      <c r="M42" s="8" t="n">
        <f aca="false">IF(ISNUMBER(SEARCH("Q2",$G42)),0,I42)</f>
        <v>0</v>
      </c>
      <c r="N42" s="8" t="n">
        <f aca="false">IF(ISNUMBER(SEARCH("Q3",$G42)),0,J42)</f>
        <v>9</v>
      </c>
      <c r="O42" s="8" t="n">
        <f aca="false">IF(ISNUMBER(SEARCH("Q4",$G42)),0,K42)</f>
        <v>9</v>
      </c>
      <c r="P42" s="9" t="n">
        <f aca="false">LARGE(L42:O42,1)+LARGE(L42:O42,2)+LARGE(L42:O42,3)</f>
        <v>28</v>
      </c>
      <c r="Q42" s="10" t="n">
        <f aca="false">COUNTIFS(Error_Log!$A:$A,$B42,Error_Log!$F:$F,"Error")</f>
        <v>2</v>
      </c>
      <c r="R42" s="11" t="n">
        <v>5</v>
      </c>
      <c r="S42" s="7" t="s">
        <v>103</v>
      </c>
      <c r="T42" s="7" t="s">
        <v>197</v>
      </c>
      <c r="U42" s="7" t="n">
        <v>4</v>
      </c>
    </row>
    <row r="43" customFormat="false" ht="23.85" hidden="false" customHeight="false" outlineLevel="0" collapsed="false">
      <c r="A43" s="7" t="n">
        <v>39</v>
      </c>
      <c r="B43" s="7" t="s">
        <v>198</v>
      </c>
      <c r="C43" s="7" t="s">
        <v>199</v>
      </c>
      <c r="D43" s="7" t="s">
        <v>110</v>
      </c>
      <c r="E43" s="7" t="s">
        <v>35</v>
      </c>
      <c r="F43" s="7" t="s">
        <v>42</v>
      </c>
      <c r="G43" s="7" t="s">
        <v>29</v>
      </c>
      <c r="H43" s="8" t="n">
        <f aca="false">SUM(Part_Marks!C43:E43)</f>
        <v>9.5</v>
      </c>
      <c r="I43" s="8" t="n">
        <f aca="false">SUM(Part_Marks!F43:I43)</f>
        <v>9</v>
      </c>
      <c r="J43" s="8" t="n">
        <f aca="false">SUM(Part_Marks!J43:M43)</f>
        <v>0</v>
      </c>
      <c r="K43" s="8" t="n">
        <f aca="false">SUM(Part_Marks!N43:Q43)</f>
        <v>7.5</v>
      </c>
      <c r="L43" s="8" t="n">
        <f aca="false">IF(ISNUMBER(SEARCH("Q1",$G43)),0,H43)</f>
        <v>9.5</v>
      </c>
      <c r="M43" s="8" t="n">
        <f aca="false">IF(ISNUMBER(SEARCH("Q2",$G43)),0,I43)</f>
        <v>9</v>
      </c>
      <c r="N43" s="8" t="n">
        <f aca="false">IF(ISNUMBER(SEARCH("Q3",$G43)),0,J43)</f>
        <v>0</v>
      </c>
      <c r="O43" s="8" t="n">
        <f aca="false">IF(ISNUMBER(SEARCH("Q4",$G43)),0,K43)</f>
        <v>7.5</v>
      </c>
      <c r="P43" s="9" t="n">
        <f aca="false">LARGE(L43:O43,1)+LARGE(L43:O43,2)+LARGE(L43:O43,3)</f>
        <v>26</v>
      </c>
      <c r="Q43" s="10" t="n">
        <f aca="false">COUNTIFS(Error_Log!$A:$A,$B43,Error_Log!$F:$F,"Error")</f>
        <v>4</v>
      </c>
      <c r="R43" s="11" t="n">
        <v>3</v>
      </c>
      <c r="S43" s="7" t="s">
        <v>111</v>
      </c>
      <c r="T43" s="7" t="s">
        <v>200</v>
      </c>
      <c r="U43" s="7" t="n">
        <v>4</v>
      </c>
    </row>
    <row r="44" customFormat="false" ht="23.85" hidden="false" customHeight="false" outlineLevel="0" collapsed="false">
      <c r="A44" s="7" t="n">
        <v>40</v>
      </c>
      <c r="B44" s="7" t="s">
        <v>201</v>
      </c>
      <c r="C44" s="7" t="s">
        <v>202</v>
      </c>
      <c r="D44" s="7" t="s">
        <v>110</v>
      </c>
      <c r="E44" s="7" t="s">
        <v>27</v>
      </c>
      <c r="F44" s="7" t="s">
        <v>55</v>
      </c>
      <c r="G44" s="7" t="s">
        <v>29</v>
      </c>
      <c r="H44" s="8" t="n">
        <f aca="false">SUM(Part_Marks!C44:E44)</f>
        <v>7</v>
      </c>
      <c r="I44" s="8" t="n">
        <f aca="false">SUM(Part_Marks!F44:I44)</f>
        <v>0</v>
      </c>
      <c r="J44" s="8" t="n">
        <f aca="false">SUM(Part_Marks!J44:M44)</f>
        <v>8</v>
      </c>
      <c r="K44" s="8" t="n">
        <f aca="false">SUM(Part_Marks!N44:Q44)</f>
        <v>8.5</v>
      </c>
      <c r="L44" s="8" t="n">
        <f aca="false">IF(ISNUMBER(SEARCH("Q1",$G44)),0,H44)</f>
        <v>7</v>
      </c>
      <c r="M44" s="8" t="n">
        <f aca="false">IF(ISNUMBER(SEARCH("Q2",$G44)),0,I44)</f>
        <v>0</v>
      </c>
      <c r="N44" s="8" t="n">
        <f aca="false">IF(ISNUMBER(SEARCH("Q3",$G44)),0,J44)</f>
        <v>8</v>
      </c>
      <c r="O44" s="8" t="n">
        <f aca="false">IF(ISNUMBER(SEARCH("Q4",$G44)),0,K44)</f>
        <v>8.5</v>
      </c>
      <c r="P44" s="9" t="n">
        <f aca="false">LARGE(L44:O44,1)+LARGE(L44:O44,2)+LARGE(L44:O44,3)</f>
        <v>23.5</v>
      </c>
      <c r="Q44" s="10" t="n">
        <f aca="false">COUNTIFS(Error_Log!$A:$A,$B44,Error_Log!$F:$F,"Error")</f>
        <v>6</v>
      </c>
      <c r="R44" s="11" t="n">
        <v>22</v>
      </c>
      <c r="S44" s="7" t="s">
        <v>103</v>
      </c>
      <c r="T44" s="7" t="s">
        <v>203</v>
      </c>
      <c r="U44" s="7" t="n">
        <v>4</v>
      </c>
    </row>
    <row r="45" customFormat="false" ht="23.85" hidden="false" customHeight="false" outlineLevel="0" collapsed="false">
      <c r="A45" s="7" t="n">
        <v>41</v>
      </c>
      <c r="B45" s="7" t="s">
        <v>204</v>
      </c>
      <c r="C45" s="7" t="s">
        <v>205</v>
      </c>
      <c r="D45" s="7" t="s">
        <v>110</v>
      </c>
      <c r="E45" s="7" t="s">
        <v>35</v>
      </c>
      <c r="F45" s="7" t="s">
        <v>36</v>
      </c>
      <c r="G45" s="7" t="s">
        <v>29</v>
      </c>
      <c r="H45" s="8" t="n">
        <f aca="false">SUM(Part_Marks!C45:E45)</f>
        <v>0</v>
      </c>
      <c r="I45" s="8" t="n">
        <f aca="false">SUM(Part_Marks!F45:I45)</f>
        <v>7</v>
      </c>
      <c r="J45" s="8" t="n">
        <f aca="false">SUM(Part_Marks!J45:M45)</f>
        <v>8</v>
      </c>
      <c r="K45" s="8" t="n">
        <f aca="false">SUM(Part_Marks!N45:Q45)</f>
        <v>8</v>
      </c>
      <c r="L45" s="8" t="n">
        <f aca="false">IF(ISNUMBER(SEARCH("Q1",$G45)),0,H45)</f>
        <v>0</v>
      </c>
      <c r="M45" s="8" t="n">
        <f aca="false">IF(ISNUMBER(SEARCH("Q2",$G45)),0,I45)</f>
        <v>7</v>
      </c>
      <c r="N45" s="8" t="n">
        <f aca="false">IF(ISNUMBER(SEARCH("Q3",$G45)),0,J45)</f>
        <v>8</v>
      </c>
      <c r="O45" s="8" t="n">
        <f aca="false">IF(ISNUMBER(SEARCH("Q4",$G45)),0,K45)</f>
        <v>8</v>
      </c>
      <c r="P45" s="9" t="n">
        <f aca="false">LARGE(L45:O45,1)+LARGE(L45:O45,2)+LARGE(L45:O45,3)</f>
        <v>23</v>
      </c>
      <c r="Q45" s="10" t="n">
        <f aca="false">COUNTIFS(Error_Log!$A:$A,$B45,Error_Log!$F:$F,"Error")</f>
        <v>6</v>
      </c>
      <c r="R45" s="11" t="n">
        <v>12</v>
      </c>
      <c r="S45" s="7" t="s">
        <v>153</v>
      </c>
      <c r="T45" s="7" t="s">
        <v>206</v>
      </c>
      <c r="U45" s="7" t="n">
        <v>4</v>
      </c>
    </row>
    <row r="46" customFormat="false" ht="23.85" hidden="false" customHeight="false" outlineLevel="0" collapsed="false">
      <c r="A46" s="7" t="n">
        <v>42</v>
      </c>
      <c r="B46" s="7" t="s">
        <v>207</v>
      </c>
      <c r="C46" s="7" t="s">
        <v>208</v>
      </c>
      <c r="D46" s="7" t="s">
        <v>121</v>
      </c>
      <c r="E46" s="7" t="s">
        <v>35</v>
      </c>
      <c r="F46" s="7" t="s">
        <v>42</v>
      </c>
      <c r="G46" s="7" t="s">
        <v>29</v>
      </c>
      <c r="H46" s="8" t="n">
        <f aca="false">SUM(Part_Marks!C46:E46)</f>
        <v>6</v>
      </c>
      <c r="I46" s="8" t="n">
        <f aca="false">SUM(Part_Marks!F46:I46)</f>
        <v>5</v>
      </c>
      <c r="J46" s="8" t="n">
        <f aca="false">SUM(Part_Marks!J46:M46)</f>
        <v>0</v>
      </c>
      <c r="K46" s="8" t="n">
        <f aca="false">SUM(Part_Marks!N46:Q46)</f>
        <v>3.5</v>
      </c>
      <c r="L46" s="8" t="n">
        <f aca="false">IF(ISNUMBER(SEARCH("Q1",$G46)),0,H46)</f>
        <v>6</v>
      </c>
      <c r="M46" s="8" t="n">
        <f aca="false">IF(ISNUMBER(SEARCH("Q2",$G46)),0,I46)</f>
        <v>5</v>
      </c>
      <c r="N46" s="8" t="n">
        <f aca="false">IF(ISNUMBER(SEARCH("Q3",$G46)),0,J46)</f>
        <v>0</v>
      </c>
      <c r="O46" s="8" t="n">
        <f aca="false">IF(ISNUMBER(SEARCH("Q4",$G46)),0,K46)</f>
        <v>3.5</v>
      </c>
      <c r="P46" s="9" t="n">
        <f aca="false">LARGE(L46:O46,1)+LARGE(L46:O46,2)+LARGE(L46:O46,3)</f>
        <v>14.5</v>
      </c>
      <c r="Q46" s="10" t="n">
        <f aca="false">COUNTIFS(Error_Log!$A:$A,$B46,Error_Log!$F:$F,"Error")</f>
        <v>9</v>
      </c>
      <c r="R46" s="11" t="n">
        <v>8</v>
      </c>
      <c r="S46" s="7" t="s">
        <v>111</v>
      </c>
      <c r="T46" s="7" t="s">
        <v>209</v>
      </c>
      <c r="U46" s="7" t="n">
        <v>4</v>
      </c>
    </row>
    <row r="47" customFormat="false" ht="23.85" hidden="false" customHeight="false" outlineLevel="0" collapsed="false">
      <c r="A47" s="7" t="n">
        <v>43</v>
      </c>
      <c r="B47" s="7" t="s">
        <v>210</v>
      </c>
      <c r="C47" s="7" t="s">
        <v>211</v>
      </c>
      <c r="D47" s="7" t="s">
        <v>121</v>
      </c>
      <c r="E47" s="7" t="s">
        <v>35</v>
      </c>
      <c r="F47" s="7" t="s">
        <v>42</v>
      </c>
      <c r="G47" s="7" t="s">
        <v>29</v>
      </c>
      <c r="H47" s="8" t="n">
        <f aca="false">SUM(Part_Marks!C47:E47)</f>
        <v>6.5</v>
      </c>
      <c r="I47" s="8" t="n">
        <f aca="false">SUM(Part_Marks!F47:I47)</f>
        <v>5</v>
      </c>
      <c r="J47" s="8" t="n">
        <f aca="false">SUM(Part_Marks!J47:M47)</f>
        <v>0</v>
      </c>
      <c r="K47" s="8" t="n">
        <f aca="false">SUM(Part_Marks!N47:Q47)</f>
        <v>5</v>
      </c>
      <c r="L47" s="8" t="n">
        <f aca="false">IF(ISNUMBER(SEARCH("Q1",$G47)),0,H47)</f>
        <v>6.5</v>
      </c>
      <c r="M47" s="8" t="n">
        <f aca="false">IF(ISNUMBER(SEARCH("Q2",$G47)),0,I47)</f>
        <v>5</v>
      </c>
      <c r="N47" s="8" t="n">
        <f aca="false">IF(ISNUMBER(SEARCH("Q3",$G47)),0,J47)</f>
        <v>0</v>
      </c>
      <c r="O47" s="8" t="n">
        <f aca="false">IF(ISNUMBER(SEARCH("Q4",$G47)),0,K47)</f>
        <v>5</v>
      </c>
      <c r="P47" s="9" t="n">
        <f aca="false">LARGE(L47:O47,1)+LARGE(L47:O47,2)+LARGE(L47:O47,3)</f>
        <v>16.5</v>
      </c>
      <c r="Q47" s="10" t="n">
        <f aca="false">COUNTIFS(Error_Log!$A:$A,$B47,Error_Log!$F:$F,"Error")</f>
        <v>9</v>
      </c>
      <c r="R47" s="11" t="n">
        <v>9</v>
      </c>
      <c r="S47" s="7" t="s">
        <v>111</v>
      </c>
      <c r="T47" s="7" t="s">
        <v>212</v>
      </c>
      <c r="U47" s="7" t="n">
        <v>4</v>
      </c>
    </row>
    <row r="48" customFormat="false" ht="23.85" hidden="false" customHeight="false" outlineLevel="0" collapsed="false">
      <c r="A48" s="7" t="n">
        <v>44</v>
      </c>
      <c r="B48" s="7" t="s">
        <v>213</v>
      </c>
      <c r="C48" s="7" t="s">
        <v>214</v>
      </c>
      <c r="D48" s="7" t="s">
        <v>128</v>
      </c>
      <c r="E48" s="7" t="s">
        <v>35</v>
      </c>
      <c r="F48" s="7" t="s">
        <v>55</v>
      </c>
      <c r="G48" s="7" t="s">
        <v>29</v>
      </c>
      <c r="H48" s="8" t="n">
        <f aca="false">SUM(Part_Marks!C48:E48)</f>
        <v>3</v>
      </c>
      <c r="I48" s="8" t="n">
        <f aca="false">SUM(Part_Marks!F48:I48)</f>
        <v>0</v>
      </c>
      <c r="J48" s="8" t="n">
        <f aca="false">SUM(Part_Marks!J48:M48)</f>
        <v>6</v>
      </c>
      <c r="K48" s="8" t="n">
        <f aca="false">SUM(Part_Marks!N48:Q48)</f>
        <v>4.5</v>
      </c>
      <c r="L48" s="8" t="n">
        <f aca="false">IF(ISNUMBER(SEARCH("Q1",$G48)),0,H48)</f>
        <v>3</v>
      </c>
      <c r="M48" s="8" t="n">
        <f aca="false">IF(ISNUMBER(SEARCH("Q2",$G48)),0,I48)</f>
        <v>0</v>
      </c>
      <c r="N48" s="8" t="n">
        <f aca="false">IF(ISNUMBER(SEARCH("Q3",$G48)),0,J48)</f>
        <v>6</v>
      </c>
      <c r="O48" s="8" t="n">
        <f aca="false">IF(ISNUMBER(SEARCH("Q4",$G48)),0,K48)</f>
        <v>4.5</v>
      </c>
      <c r="P48" s="9" t="n">
        <f aca="false">LARGE(L48:O48,1)+LARGE(L48:O48,2)+LARGE(L48:O48,3)</f>
        <v>13.5</v>
      </c>
      <c r="Q48" s="10" t="n">
        <f aca="false">COUNTIFS(Error_Log!$A:$A,$B48,Error_Log!$F:$F,"Error")</f>
        <v>7</v>
      </c>
      <c r="R48" s="11" t="n">
        <v>10</v>
      </c>
      <c r="S48" s="7" t="s">
        <v>215</v>
      </c>
      <c r="T48" s="7" t="s">
        <v>216</v>
      </c>
      <c r="U48" s="7" t="n">
        <v>4</v>
      </c>
    </row>
    <row r="49" customFormat="false" ht="23.85" hidden="false" customHeight="false" outlineLevel="0" collapsed="false">
      <c r="A49" s="7" t="n">
        <v>45</v>
      </c>
      <c r="B49" s="7" t="s">
        <v>217</v>
      </c>
      <c r="C49" s="7" t="s">
        <v>218</v>
      </c>
      <c r="D49" s="7" t="s">
        <v>177</v>
      </c>
      <c r="E49" s="7" t="s">
        <v>27</v>
      </c>
      <c r="F49" s="7" t="s">
        <v>36</v>
      </c>
      <c r="G49" s="7" t="s">
        <v>29</v>
      </c>
      <c r="H49" s="8" t="n">
        <f aca="false">SUM(Part_Marks!C49:E49)</f>
        <v>0</v>
      </c>
      <c r="I49" s="8" t="n">
        <f aca="false">SUM(Part_Marks!F49:I49)</f>
        <v>9.5</v>
      </c>
      <c r="J49" s="8" t="n">
        <f aca="false">SUM(Part_Marks!J49:M49)</f>
        <v>8.5</v>
      </c>
      <c r="K49" s="8" t="n">
        <f aca="false">SUM(Part_Marks!N49:Q49)</f>
        <v>7.5</v>
      </c>
      <c r="L49" s="8" t="n">
        <f aca="false">IF(ISNUMBER(SEARCH("Q1",$G49)),0,H49)</f>
        <v>0</v>
      </c>
      <c r="M49" s="8" t="n">
        <f aca="false">IF(ISNUMBER(SEARCH("Q2",$G49)),0,I49)</f>
        <v>9.5</v>
      </c>
      <c r="N49" s="8" t="n">
        <f aca="false">IF(ISNUMBER(SEARCH("Q3",$G49)),0,J49)</f>
        <v>8.5</v>
      </c>
      <c r="O49" s="8" t="n">
        <f aca="false">IF(ISNUMBER(SEARCH("Q4",$G49)),0,K49)</f>
        <v>7.5</v>
      </c>
      <c r="P49" s="9" t="n">
        <f aca="false">LARGE(L49:O49,1)+LARGE(L49:O49,2)+LARGE(L49:O49,3)</f>
        <v>25.5</v>
      </c>
      <c r="Q49" s="10" t="n">
        <f aca="false">COUNTIFS(Error_Log!$A:$A,$B49,Error_Log!$F:$F,"Error")</f>
        <v>4</v>
      </c>
      <c r="R49" s="11" t="n">
        <v>22</v>
      </c>
      <c r="S49" s="7" t="s">
        <v>103</v>
      </c>
      <c r="T49" s="7" t="s">
        <v>219</v>
      </c>
      <c r="U49" s="7" t="n">
        <v>4</v>
      </c>
    </row>
    <row r="50" customFormat="false" ht="23.85" hidden="false" customHeight="false" outlineLevel="0" collapsed="false">
      <c r="A50" s="7" t="n">
        <v>46</v>
      </c>
      <c r="B50" s="7" t="s">
        <v>220</v>
      </c>
      <c r="C50" s="7" t="s">
        <v>221</v>
      </c>
      <c r="D50" s="7" t="s">
        <v>222</v>
      </c>
      <c r="E50" s="7" t="s">
        <v>35</v>
      </c>
      <c r="F50" s="7" t="s">
        <v>28</v>
      </c>
      <c r="G50" s="7" t="s">
        <v>29</v>
      </c>
      <c r="H50" s="8" t="n">
        <f aca="false">SUM(Part_Marks!C50:E50)</f>
        <v>9</v>
      </c>
      <c r="I50" s="8" t="n">
        <f aca="false">SUM(Part_Marks!F50:I50)</f>
        <v>8</v>
      </c>
      <c r="J50" s="8" t="n">
        <f aca="false">SUM(Part_Marks!J50:M50)</f>
        <v>8.5</v>
      </c>
      <c r="K50" s="8" t="n">
        <f aca="false">SUM(Part_Marks!N50:Q50)</f>
        <v>0</v>
      </c>
      <c r="L50" s="8" t="n">
        <f aca="false">IF(ISNUMBER(SEARCH("Q1",$G50)),0,H50)</f>
        <v>9</v>
      </c>
      <c r="M50" s="8" t="n">
        <f aca="false">IF(ISNUMBER(SEARCH("Q2",$G50)),0,I50)</f>
        <v>8</v>
      </c>
      <c r="N50" s="8" t="n">
        <f aca="false">IF(ISNUMBER(SEARCH("Q3",$G50)),0,J50)</f>
        <v>8.5</v>
      </c>
      <c r="O50" s="8" t="n">
        <f aca="false">IF(ISNUMBER(SEARCH("Q4",$G50)),0,K50)</f>
        <v>0</v>
      </c>
      <c r="P50" s="9" t="n">
        <f aca="false">LARGE(L50:O50,1)+LARGE(L50:O50,2)+LARGE(L50:O50,3)</f>
        <v>25.5</v>
      </c>
      <c r="Q50" s="10" t="n">
        <f aca="false">COUNTIFS(Error_Log!$A:$A,$B50,Error_Log!$F:$F,"Error")</f>
        <v>3</v>
      </c>
      <c r="R50" s="11" t="n">
        <v>14</v>
      </c>
      <c r="S50" s="7" t="s">
        <v>223</v>
      </c>
      <c r="T50" s="7" t="s">
        <v>224</v>
      </c>
      <c r="U50" s="7" t="n">
        <v>4</v>
      </c>
    </row>
    <row r="51" customFormat="false" ht="23.85" hidden="false" customHeight="false" outlineLevel="0" collapsed="false">
      <c r="A51" s="7" t="n">
        <v>47</v>
      </c>
      <c r="B51" s="7" t="s">
        <v>225</v>
      </c>
      <c r="C51" s="7" t="s">
        <v>226</v>
      </c>
      <c r="D51" s="7" t="s">
        <v>139</v>
      </c>
      <c r="E51" s="7" t="s">
        <v>27</v>
      </c>
      <c r="F51" s="7" t="s">
        <v>48</v>
      </c>
      <c r="G51" s="7" t="s">
        <v>140</v>
      </c>
      <c r="H51" s="8" t="n">
        <f aca="false">SUM(Part_Marks!C51:E51)</f>
        <v>8</v>
      </c>
      <c r="I51" s="8" t="n">
        <f aca="false">SUM(Part_Marks!F51:I51)</f>
        <v>9.5</v>
      </c>
      <c r="J51" s="8" t="n">
        <f aca="false">SUM(Part_Marks!J51:M51)</f>
        <v>8</v>
      </c>
      <c r="K51" s="8" t="n">
        <f aca="false">SUM(Part_Marks!N51:Q51)</f>
        <v>9</v>
      </c>
      <c r="L51" s="8" t="n">
        <f aca="false">IF(ISNUMBER(SEARCH("Q1",$G51)),0,H51)</f>
        <v>8</v>
      </c>
      <c r="M51" s="8" t="n">
        <f aca="false">IF(ISNUMBER(SEARCH("Q2",$G51)),0,I51)</f>
        <v>0</v>
      </c>
      <c r="N51" s="8" t="n">
        <f aca="false">IF(ISNUMBER(SEARCH("Q3",$G51)),0,J51)</f>
        <v>8</v>
      </c>
      <c r="O51" s="8" t="n">
        <f aca="false">IF(ISNUMBER(SEARCH("Q4",$G51)),0,K51)</f>
        <v>9</v>
      </c>
      <c r="P51" s="9" t="n">
        <f aca="false">LARGE(L51:O51,1)+LARGE(L51:O51,2)+LARGE(L51:O51,3)</f>
        <v>25</v>
      </c>
      <c r="Q51" s="10" t="n">
        <f aca="false">COUNTIFS(Error_Log!$A:$A,$B51,Error_Log!$F:$F,"Error")</f>
        <v>5</v>
      </c>
      <c r="R51" s="11" t="n">
        <v>15</v>
      </c>
      <c r="S51" s="7" t="s">
        <v>227</v>
      </c>
      <c r="T51" s="7" t="s">
        <v>228</v>
      </c>
      <c r="U51" s="7" t="n">
        <v>4</v>
      </c>
    </row>
    <row r="52" customFormat="false" ht="23.85" hidden="false" customHeight="false" outlineLevel="0" collapsed="false">
      <c r="A52" s="7" t="n">
        <v>48</v>
      </c>
      <c r="B52" s="7" t="s">
        <v>229</v>
      </c>
      <c r="C52" s="7" t="s">
        <v>230</v>
      </c>
      <c r="D52" s="7" t="s">
        <v>231</v>
      </c>
      <c r="E52" s="7" t="s">
        <v>35</v>
      </c>
      <c r="F52" s="7" t="s">
        <v>232</v>
      </c>
      <c r="G52" s="7" t="s">
        <v>29</v>
      </c>
      <c r="H52" s="8" t="n">
        <f aca="false">SUM(Part_Marks!C52:E52)</f>
        <v>0</v>
      </c>
      <c r="I52" s="8" t="n">
        <f aca="false">SUM(Part_Marks!F52:I52)</f>
        <v>0</v>
      </c>
      <c r="J52" s="8" t="n">
        <f aca="false">SUM(Part_Marks!J52:M52)</f>
        <v>0</v>
      </c>
      <c r="K52" s="8" t="n">
        <f aca="false">SUM(Part_Marks!N52:Q52)</f>
        <v>7</v>
      </c>
      <c r="L52" s="8" t="n">
        <f aca="false">IF(ISNUMBER(SEARCH("Q1",$G52)),0,H52)</f>
        <v>0</v>
      </c>
      <c r="M52" s="8" t="n">
        <f aca="false">IF(ISNUMBER(SEARCH("Q2",$G52)),0,I52)</f>
        <v>0</v>
      </c>
      <c r="N52" s="8" t="n">
        <f aca="false">IF(ISNUMBER(SEARCH("Q3",$G52)),0,J52)</f>
        <v>0</v>
      </c>
      <c r="O52" s="8" t="n">
        <f aca="false">IF(ISNUMBER(SEARCH("Q4",$G52)),0,K52)</f>
        <v>7</v>
      </c>
      <c r="P52" s="9" t="n">
        <f aca="false">LARGE(L52:O52,1)+LARGE(L52:O52,2)+LARGE(L52:O52,3)</f>
        <v>7</v>
      </c>
      <c r="Q52" s="10" t="n">
        <f aca="false">COUNTIFS(Error_Log!$A:$A,$B52,Error_Log!$F:$F,"Error")</f>
        <v>3</v>
      </c>
      <c r="R52" s="11" t="n">
        <v>1</v>
      </c>
      <c r="S52" s="7" t="s">
        <v>233</v>
      </c>
      <c r="T52" s="7" t="s">
        <v>234</v>
      </c>
      <c r="U52" s="7" t="n">
        <v>4</v>
      </c>
    </row>
    <row r="53" customFormat="false" ht="23.85" hidden="false" customHeight="false" outlineLevel="0" collapsed="false">
      <c r="A53" s="7" t="n">
        <v>49</v>
      </c>
      <c r="B53" s="7" t="s">
        <v>235</v>
      </c>
      <c r="C53" s="7" t="s">
        <v>236</v>
      </c>
      <c r="D53" s="7" t="s">
        <v>97</v>
      </c>
      <c r="E53" s="7" t="s">
        <v>27</v>
      </c>
      <c r="F53" s="7" t="s">
        <v>36</v>
      </c>
      <c r="G53" s="7" t="s">
        <v>29</v>
      </c>
      <c r="H53" s="8" t="n">
        <f aca="false">SUM(Part_Marks!C53:E53)</f>
        <v>0</v>
      </c>
      <c r="I53" s="8" t="n">
        <f aca="false">SUM(Part_Marks!F53:I53)</f>
        <v>10</v>
      </c>
      <c r="J53" s="8" t="n">
        <f aca="false">SUM(Part_Marks!J53:M53)</f>
        <v>10</v>
      </c>
      <c r="K53" s="8" t="n">
        <f aca="false">SUM(Part_Marks!N53:Q53)</f>
        <v>10</v>
      </c>
      <c r="L53" s="8" t="n">
        <f aca="false">IF(ISNUMBER(SEARCH("Q1",$G53)),0,H53)</f>
        <v>0</v>
      </c>
      <c r="M53" s="8" t="n">
        <f aca="false">IF(ISNUMBER(SEARCH("Q2",$G53)),0,I53)</f>
        <v>10</v>
      </c>
      <c r="N53" s="8" t="n">
        <f aca="false">IF(ISNUMBER(SEARCH("Q3",$G53)),0,J53)</f>
        <v>10</v>
      </c>
      <c r="O53" s="8" t="n">
        <f aca="false">IF(ISNUMBER(SEARCH("Q4",$G53)),0,K53)</f>
        <v>10</v>
      </c>
      <c r="P53" s="9" t="n">
        <f aca="false">LARGE(L53:O53,1)+LARGE(L53:O53,2)+LARGE(L53:O53,3)</f>
        <v>30</v>
      </c>
      <c r="Q53" s="10" t="n">
        <f aca="false">COUNTIFS(Error_Log!$A:$A,$B53,Error_Log!$F:$F,"Error")</f>
        <v>0</v>
      </c>
      <c r="R53" s="11" t="n">
        <v>3</v>
      </c>
      <c r="S53" s="7" t="s">
        <v>98</v>
      </c>
      <c r="T53" s="7" t="s">
        <v>237</v>
      </c>
      <c r="U53" s="7" t="n">
        <v>5</v>
      </c>
    </row>
    <row r="54" customFormat="false" ht="23.85" hidden="false" customHeight="false" outlineLevel="0" collapsed="false">
      <c r="A54" s="7" t="n">
        <v>50</v>
      </c>
      <c r="B54" s="7" t="s">
        <v>238</v>
      </c>
      <c r="C54" s="7" t="s">
        <v>239</v>
      </c>
      <c r="D54" s="7" t="s">
        <v>102</v>
      </c>
      <c r="E54" s="7" t="s">
        <v>35</v>
      </c>
      <c r="F54" s="7" t="s">
        <v>42</v>
      </c>
      <c r="G54" s="7" t="s">
        <v>29</v>
      </c>
      <c r="H54" s="8" t="n">
        <f aca="false">SUM(Part_Marks!C54:E54)</f>
        <v>10</v>
      </c>
      <c r="I54" s="8" t="n">
        <f aca="false">SUM(Part_Marks!F54:I54)</f>
        <v>10</v>
      </c>
      <c r="J54" s="8" t="n">
        <f aca="false">SUM(Part_Marks!J54:M54)</f>
        <v>0</v>
      </c>
      <c r="K54" s="8" t="n">
        <f aca="false">SUM(Part_Marks!N54:Q54)</f>
        <v>8</v>
      </c>
      <c r="L54" s="8" t="n">
        <f aca="false">IF(ISNUMBER(SEARCH("Q1",$G54)),0,H54)</f>
        <v>10</v>
      </c>
      <c r="M54" s="8" t="n">
        <f aca="false">IF(ISNUMBER(SEARCH("Q2",$G54)),0,I54)</f>
        <v>10</v>
      </c>
      <c r="N54" s="8" t="n">
        <f aca="false">IF(ISNUMBER(SEARCH("Q3",$G54)),0,J54)</f>
        <v>0</v>
      </c>
      <c r="O54" s="8" t="n">
        <f aca="false">IF(ISNUMBER(SEARCH("Q4",$G54)),0,K54)</f>
        <v>8</v>
      </c>
      <c r="P54" s="9" t="n">
        <f aca="false">LARGE(L54:O54,1)+LARGE(L54:O54,2)+LARGE(L54:O54,3)</f>
        <v>28</v>
      </c>
      <c r="Q54" s="10" t="n">
        <f aca="false">COUNTIFS(Error_Log!$A:$A,$B54,Error_Log!$F:$F,"Error")</f>
        <v>1</v>
      </c>
      <c r="R54" s="11" t="n">
        <v>3</v>
      </c>
      <c r="S54" s="7" t="s">
        <v>111</v>
      </c>
      <c r="T54" s="7" t="s">
        <v>240</v>
      </c>
      <c r="U54" s="7" t="n">
        <v>5</v>
      </c>
    </row>
    <row r="55" customFormat="false" ht="23.85" hidden="false" customHeight="false" outlineLevel="0" collapsed="false">
      <c r="A55" s="7" t="n">
        <v>51</v>
      </c>
      <c r="B55" s="7" t="s">
        <v>241</v>
      </c>
      <c r="C55" s="7" t="s">
        <v>242</v>
      </c>
      <c r="D55" s="7" t="s">
        <v>110</v>
      </c>
      <c r="E55" s="7" t="s">
        <v>35</v>
      </c>
      <c r="F55" s="7" t="s">
        <v>55</v>
      </c>
      <c r="G55" s="7" t="s">
        <v>29</v>
      </c>
      <c r="H55" s="8" t="n">
        <f aca="false">SUM(Part_Marks!C55:E55)</f>
        <v>6</v>
      </c>
      <c r="I55" s="8" t="n">
        <f aca="false">SUM(Part_Marks!F55:I55)</f>
        <v>0</v>
      </c>
      <c r="J55" s="8" t="n">
        <f aca="false">SUM(Part_Marks!J55:M55)</f>
        <v>6.5</v>
      </c>
      <c r="K55" s="8" t="n">
        <f aca="false">SUM(Part_Marks!N55:Q55)</f>
        <v>7.5</v>
      </c>
      <c r="L55" s="8" t="n">
        <f aca="false">IF(ISNUMBER(SEARCH("Q1",$G55)),0,H55)</f>
        <v>6</v>
      </c>
      <c r="M55" s="8" t="n">
        <f aca="false">IF(ISNUMBER(SEARCH("Q2",$G55)),0,I55)</f>
        <v>0</v>
      </c>
      <c r="N55" s="8" t="n">
        <f aca="false">IF(ISNUMBER(SEARCH("Q3",$G55)),0,J55)</f>
        <v>6.5</v>
      </c>
      <c r="O55" s="8" t="n">
        <f aca="false">IF(ISNUMBER(SEARCH("Q4",$G55)),0,K55)</f>
        <v>7.5</v>
      </c>
      <c r="P55" s="9" t="n">
        <f aca="false">LARGE(L55:O55,1)+LARGE(L55:O55,2)+LARGE(L55:O55,3)</f>
        <v>20</v>
      </c>
      <c r="Q55" s="10" t="n">
        <f aca="false">COUNTIFS(Error_Log!$A:$A,$B55,Error_Log!$F:$F,"Error")</f>
        <v>8</v>
      </c>
      <c r="R55" s="11" t="n">
        <v>10</v>
      </c>
      <c r="S55" s="7" t="s">
        <v>111</v>
      </c>
      <c r="T55" s="7" t="s">
        <v>243</v>
      </c>
      <c r="U55" s="7" t="n">
        <v>5</v>
      </c>
    </row>
    <row r="56" customFormat="false" ht="23.85" hidden="false" customHeight="false" outlineLevel="0" collapsed="false">
      <c r="A56" s="7" t="n">
        <v>52</v>
      </c>
      <c r="B56" s="7" t="s">
        <v>244</v>
      </c>
      <c r="C56" s="7" t="s">
        <v>245</v>
      </c>
      <c r="D56" s="7" t="s">
        <v>110</v>
      </c>
      <c r="E56" s="7" t="s">
        <v>35</v>
      </c>
      <c r="F56" s="7" t="s">
        <v>28</v>
      </c>
      <c r="G56" s="7" t="s">
        <v>29</v>
      </c>
      <c r="H56" s="8" t="n">
        <f aca="false">SUM(Part_Marks!C56:E56)</f>
        <v>6.5</v>
      </c>
      <c r="I56" s="8" t="n">
        <f aca="false">SUM(Part_Marks!F56:I56)</f>
        <v>9</v>
      </c>
      <c r="J56" s="8" t="n">
        <f aca="false">SUM(Part_Marks!J56:M56)</f>
        <v>8</v>
      </c>
      <c r="K56" s="8" t="n">
        <f aca="false">SUM(Part_Marks!N56:Q56)</f>
        <v>0</v>
      </c>
      <c r="L56" s="8" t="n">
        <f aca="false">IF(ISNUMBER(SEARCH("Q1",$G56)),0,H56)</f>
        <v>6.5</v>
      </c>
      <c r="M56" s="8" t="n">
        <f aca="false">IF(ISNUMBER(SEARCH("Q2",$G56)),0,I56)</f>
        <v>9</v>
      </c>
      <c r="N56" s="8" t="n">
        <f aca="false">IF(ISNUMBER(SEARCH("Q3",$G56)),0,J56)</f>
        <v>8</v>
      </c>
      <c r="O56" s="8" t="n">
        <f aca="false">IF(ISNUMBER(SEARCH("Q4",$G56)),0,K56)</f>
        <v>0</v>
      </c>
      <c r="P56" s="9" t="n">
        <f aca="false">LARGE(L56:O56,1)+LARGE(L56:O56,2)+LARGE(L56:O56,3)</f>
        <v>23.5</v>
      </c>
      <c r="Q56" s="10" t="n">
        <f aca="false">COUNTIFS(Error_Log!$A:$A,$B56,Error_Log!$F:$F,"Error")</f>
        <v>5</v>
      </c>
      <c r="R56" s="11" t="n">
        <v>8</v>
      </c>
      <c r="S56" s="7" t="s">
        <v>111</v>
      </c>
      <c r="T56" s="7" t="s">
        <v>246</v>
      </c>
      <c r="U56" s="7" t="n">
        <v>5</v>
      </c>
    </row>
    <row r="57" customFormat="false" ht="23.85" hidden="false" customHeight="false" outlineLevel="0" collapsed="false">
      <c r="A57" s="7" t="n">
        <v>53</v>
      </c>
      <c r="B57" s="7" t="s">
        <v>247</v>
      </c>
      <c r="C57" s="7" t="s">
        <v>248</v>
      </c>
      <c r="D57" s="7" t="s">
        <v>110</v>
      </c>
      <c r="E57" s="7" t="s">
        <v>35</v>
      </c>
      <c r="F57" s="7" t="s">
        <v>42</v>
      </c>
      <c r="G57" s="7" t="s">
        <v>29</v>
      </c>
      <c r="H57" s="8" t="n">
        <f aca="false">SUM(Part_Marks!C57:E57)</f>
        <v>7</v>
      </c>
      <c r="I57" s="8" t="n">
        <f aca="false">SUM(Part_Marks!F57:I57)</f>
        <v>8.5</v>
      </c>
      <c r="J57" s="8" t="n">
        <f aca="false">SUM(Part_Marks!J57:M57)</f>
        <v>0</v>
      </c>
      <c r="K57" s="8" t="n">
        <f aca="false">SUM(Part_Marks!N57:Q57)</f>
        <v>7</v>
      </c>
      <c r="L57" s="8" t="n">
        <f aca="false">IF(ISNUMBER(SEARCH("Q1",$G57)),0,H57)</f>
        <v>7</v>
      </c>
      <c r="M57" s="8" t="n">
        <f aca="false">IF(ISNUMBER(SEARCH("Q2",$G57)),0,I57)</f>
        <v>8.5</v>
      </c>
      <c r="N57" s="8" t="n">
        <f aca="false">IF(ISNUMBER(SEARCH("Q3",$G57)),0,J57)</f>
        <v>0</v>
      </c>
      <c r="O57" s="8" t="n">
        <f aca="false">IF(ISNUMBER(SEARCH("Q4",$G57)),0,K57)</f>
        <v>7</v>
      </c>
      <c r="P57" s="9" t="n">
        <f aca="false">LARGE(L57:O57,1)+LARGE(L57:O57,2)+LARGE(L57:O57,3)</f>
        <v>22.5</v>
      </c>
      <c r="Q57" s="10" t="n">
        <f aca="false">COUNTIFS(Error_Log!$A:$A,$B57,Error_Log!$F:$F,"Error")</f>
        <v>6</v>
      </c>
      <c r="R57" s="11" t="n">
        <v>4</v>
      </c>
      <c r="S57" s="7" t="s">
        <v>111</v>
      </c>
      <c r="T57" s="7" t="s">
        <v>249</v>
      </c>
      <c r="U57" s="7" t="n">
        <v>5</v>
      </c>
    </row>
    <row r="58" customFormat="false" ht="23.85" hidden="false" customHeight="false" outlineLevel="0" collapsed="false">
      <c r="A58" s="7" t="n">
        <v>54</v>
      </c>
      <c r="B58" s="7" t="s">
        <v>250</v>
      </c>
      <c r="C58" s="7" t="s">
        <v>251</v>
      </c>
      <c r="D58" s="7" t="s">
        <v>121</v>
      </c>
      <c r="E58" s="7" t="s">
        <v>35</v>
      </c>
      <c r="F58" s="7" t="s">
        <v>28</v>
      </c>
      <c r="G58" s="7" t="s">
        <v>29</v>
      </c>
      <c r="H58" s="8" t="n">
        <f aca="false">SUM(Part_Marks!C58:E58)</f>
        <v>7</v>
      </c>
      <c r="I58" s="8" t="n">
        <f aca="false">SUM(Part_Marks!F58:I58)</f>
        <v>4</v>
      </c>
      <c r="J58" s="8" t="n">
        <f aca="false">SUM(Part_Marks!J58:M58)</f>
        <v>4.5</v>
      </c>
      <c r="K58" s="8" t="n">
        <f aca="false">SUM(Part_Marks!N58:Q58)</f>
        <v>0</v>
      </c>
      <c r="L58" s="8" t="n">
        <f aca="false">IF(ISNUMBER(SEARCH("Q1",$G58)),0,H58)</f>
        <v>7</v>
      </c>
      <c r="M58" s="8" t="n">
        <f aca="false">IF(ISNUMBER(SEARCH("Q2",$G58)),0,I58)</f>
        <v>4</v>
      </c>
      <c r="N58" s="8" t="n">
        <f aca="false">IF(ISNUMBER(SEARCH("Q3",$G58)),0,J58)</f>
        <v>4.5</v>
      </c>
      <c r="O58" s="8" t="n">
        <f aca="false">IF(ISNUMBER(SEARCH("Q4",$G58)),0,K58)</f>
        <v>0</v>
      </c>
      <c r="P58" s="9" t="n">
        <f aca="false">LARGE(L58:O58,1)+LARGE(L58:O58,2)+LARGE(L58:O58,3)</f>
        <v>15.5</v>
      </c>
      <c r="Q58" s="10" t="n">
        <f aca="false">COUNTIFS(Error_Log!$A:$A,$B58,Error_Log!$F:$F,"Error")</f>
        <v>10</v>
      </c>
      <c r="R58" s="11" t="n">
        <v>10</v>
      </c>
      <c r="S58" s="7" t="s">
        <v>111</v>
      </c>
      <c r="T58" s="7" t="s">
        <v>252</v>
      </c>
      <c r="U58" s="7" t="n">
        <v>5</v>
      </c>
    </row>
    <row r="59" customFormat="false" ht="23.85" hidden="false" customHeight="false" outlineLevel="0" collapsed="false">
      <c r="A59" s="7" t="n">
        <v>55</v>
      </c>
      <c r="B59" s="7" t="s">
        <v>253</v>
      </c>
      <c r="C59" s="7" t="s">
        <v>254</v>
      </c>
      <c r="D59" s="7" t="s">
        <v>172</v>
      </c>
      <c r="E59" s="7" t="s">
        <v>35</v>
      </c>
      <c r="F59" s="7" t="s">
        <v>42</v>
      </c>
      <c r="G59" s="7" t="s">
        <v>29</v>
      </c>
      <c r="H59" s="8" t="n">
        <f aca="false">SUM(Part_Marks!C59:E59)</f>
        <v>8.5</v>
      </c>
      <c r="I59" s="8" t="n">
        <f aca="false">SUM(Part_Marks!F59:I59)</f>
        <v>9</v>
      </c>
      <c r="J59" s="8" t="n">
        <f aca="false">SUM(Part_Marks!J59:M59)</f>
        <v>0</v>
      </c>
      <c r="K59" s="8" t="n">
        <f aca="false">SUM(Part_Marks!N59:Q59)</f>
        <v>10</v>
      </c>
      <c r="L59" s="8" t="n">
        <f aca="false">IF(ISNUMBER(SEARCH("Q1",$G59)),0,H59)</f>
        <v>8.5</v>
      </c>
      <c r="M59" s="8" t="n">
        <f aca="false">IF(ISNUMBER(SEARCH("Q2",$G59)),0,I59)</f>
        <v>9</v>
      </c>
      <c r="N59" s="8" t="n">
        <f aca="false">IF(ISNUMBER(SEARCH("Q3",$G59)),0,J59)</f>
        <v>0</v>
      </c>
      <c r="O59" s="8" t="n">
        <f aca="false">IF(ISNUMBER(SEARCH("Q4",$G59)),0,K59)</f>
        <v>10</v>
      </c>
      <c r="P59" s="9" t="n">
        <f aca="false">LARGE(L59:O59,1)+LARGE(L59:O59,2)+LARGE(L59:O59,3)</f>
        <v>27.5</v>
      </c>
      <c r="Q59" s="10" t="n">
        <f aca="false">COUNTIFS(Error_Log!$A:$A,$B59,Error_Log!$F:$F,"Error")</f>
        <v>5</v>
      </c>
      <c r="R59" s="11" t="n">
        <v>6</v>
      </c>
      <c r="S59" s="7" t="s">
        <v>173</v>
      </c>
      <c r="T59" s="7" t="s">
        <v>255</v>
      </c>
      <c r="U59" s="7" t="n">
        <v>5</v>
      </c>
    </row>
    <row r="60" customFormat="false" ht="23.85" hidden="false" customHeight="false" outlineLevel="0" collapsed="false">
      <c r="A60" s="7" t="n">
        <v>56</v>
      </c>
      <c r="B60" s="7" t="s">
        <v>256</v>
      </c>
      <c r="C60" s="7" t="s">
        <v>257</v>
      </c>
      <c r="D60" s="7" t="s">
        <v>128</v>
      </c>
      <c r="E60" s="7" t="s">
        <v>35</v>
      </c>
      <c r="F60" s="7" t="s">
        <v>28</v>
      </c>
      <c r="G60" s="7" t="s">
        <v>29</v>
      </c>
      <c r="H60" s="8" t="n">
        <f aca="false">SUM(Part_Marks!C60:E60)</f>
        <v>2.5</v>
      </c>
      <c r="I60" s="8" t="n">
        <f aca="false">SUM(Part_Marks!F60:I60)</f>
        <v>10</v>
      </c>
      <c r="J60" s="8" t="n">
        <f aca="false">SUM(Part_Marks!J60:M60)</f>
        <v>4</v>
      </c>
      <c r="K60" s="8" t="n">
        <f aca="false">SUM(Part_Marks!N60:Q60)</f>
        <v>0</v>
      </c>
      <c r="L60" s="8" t="n">
        <f aca="false">IF(ISNUMBER(SEARCH("Q1",$G60)),0,H60)</f>
        <v>2.5</v>
      </c>
      <c r="M60" s="8" t="n">
        <f aca="false">IF(ISNUMBER(SEARCH("Q2",$G60)),0,I60)</f>
        <v>10</v>
      </c>
      <c r="N60" s="8" t="n">
        <f aca="false">IF(ISNUMBER(SEARCH("Q3",$G60)),0,J60)</f>
        <v>4</v>
      </c>
      <c r="O60" s="8" t="n">
        <f aca="false">IF(ISNUMBER(SEARCH("Q4",$G60)),0,K60)</f>
        <v>0</v>
      </c>
      <c r="P60" s="9" t="n">
        <f aca="false">LARGE(L60:O60,1)+LARGE(L60:O60,2)+LARGE(L60:O60,3)</f>
        <v>16.5</v>
      </c>
      <c r="Q60" s="10" t="n">
        <f aca="false">COUNTIFS(Error_Log!$A:$A,$B60,Error_Log!$F:$F,"Error")</f>
        <v>5</v>
      </c>
      <c r="R60" s="11" t="n">
        <v>8</v>
      </c>
      <c r="S60" s="7" t="s">
        <v>258</v>
      </c>
      <c r="T60" s="7" t="s">
        <v>259</v>
      </c>
      <c r="U60" s="7" t="n">
        <v>5</v>
      </c>
    </row>
    <row r="61" customFormat="false" ht="23.85" hidden="false" customHeight="false" outlineLevel="0" collapsed="false">
      <c r="A61" s="7" t="n">
        <v>57</v>
      </c>
      <c r="B61" s="7" t="s">
        <v>260</v>
      </c>
      <c r="C61" s="7" t="s">
        <v>261</v>
      </c>
      <c r="D61" s="7" t="s">
        <v>177</v>
      </c>
      <c r="E61" s="7" t="s">
        <v>27</v>
      </c>
      <c r="F61" s="7" t="s">
        <v>28</v>
      </c>
      <c r="G61" s="7" t="s">
        <v>29</v>
      </c>
      <c r="H61" s="8" t="n">
        <f aca="false">SUM(Part_Marks!C61:E61)</f>
        <v>8</v>
      </c>
      <c r="I61" s="8" t="n">
        <f aca="false">SUM(Part_Marks!F61:I61)</f>
        <v>8.5</v>
      </c>
      <c r="J61" s="8" t="n">
        <f aca="false">SUM(Part_Marks!J61:M61)</f>
        <v>7</v>
      </c>
      <c r="K61" s="8" t="n">
        <f aca="false">SUM(Part_Marks!N61:Q61)</f>
        <v>0</v>
      </c>
      <c r="L61" s="8" t="n">
        <f aca="false">IF(ISNUMBER(SEARCH("Q1",$G61)),0,H61)</f>
        <v>8</v>
      </c>
      <c r="M61" s="8" t="n">
        <f aca="false">IF(ISNUMBER(SEARCH("Q2",$G61)),0,I61)</f>
        <v>8.5</v>
      </c>
      <c r="N61" s="8" t="n">
        <f aca="false">IF(ISNUMBER(SEARCH("Q3",$G61)),0,J61)</f>
        <v>7</v>
      </c>
      <c r="O61" s="8" t="n">
        <f aca="false">IF(ISNUMBER(SEARCH("Q4",$G61)),0,K61)</f>
        <v>0</v>
      </c>
      <c r="P61" s="9" t="n">
        <f aca="false">LARGE(L61:O61,1)+LARGE(L61:O61,2)+LARGE(L61:O61,3)</f>
        <v>23.5</v>
      </c>
      <c r="Q61" s="10" t="n">
        <f aca="false">COUNTIFS(Error_Log!$A:$A,$B61,Error_Log!$F:$F,"Error")</f>
        <v>6</v>
      </c>
      <c r="R61" s="11" t="n">
        <v>13</v>
      </c>
      <c r="S61" s="7" t="s">
        <v>103</v>
      </c>
      <c r="T61" s="7" t="s">
        <v>262</v>
      </c>
      <c r="U61" s="7" t="n">
        <v>5</v>
      </c>
    </row>
    <row r="62" customFormat="false" ht="23.85" hidden="false" customHeight="false" outlineLevel="0" collapsed="false">
      <c r="A62" s="7" t="n">
        <v>58</v>
      </c>
      <c r="B62" s="7" t="s">
        <v>263</v>
      </c>
      <c r="C62" s="7" t="s">
        <v>264</v>
      </c>
      <c r="D62" s="7" t="s">
        <v>222</v>
      </c>
      <c r="E62" s="7" t="s">
        <v>27</v>
      </c>
      <c r="F62" s="7" t="s">
        <v>55</v>
      </c>
      <c r="G62" s="7" t="s">
        <v>29</v>
      </c>
      <c r="H62" s="8" t="n">
        <f aca="false">SUM(Part_Marks!C62:E62)</f>
        <v>8.5</v>
      </c>
      <c r="I62" s="8" t="n">
        <f aca="false">SUM(Part_Marks!F62:I62)</f>
        <v>0</v>
      </c>
      <c r="J62" s="8" t="n">
        <f aca="false">SUM(Part_Marks!J62:M62)</f>
        <v>10</v>
      </c>
      <c r="K62" s="8" t="n">
        <f aca="false">SUM(Part_Marks!N62:Q62)</f>
        <v>8</v>
      </c>
      <c r="L62" s="8" t="n">
        <f aca="false">IF(ISNUMBER(SEARCH("Q1",$G62)),0,H62)</f>
        <v>8.5</v>
      </c>
      <c r="M62" s="8" t="n">
        <f aca="false">IF(ISNUMBER(SEARCH("Q2",$G62)),0,I62)</f>
        <v>0</v>
      </c>
      <c r="N62" s="8" t="n">
        <f aca="false">IF(ISNUMBER(SEARCH("Q3",$G62)),0,J62)</f>
        <v>10</v>
      </c>
      <c r="O62" s="8" t="n">
        <f aca="false">IF(ISNUMBER(SEARCH("Q4",$G62)),0,K62)</f>
        <v>8</v>
      </c>
      <c r="P62" s="9" t="n">
        <f aca="false">LARGE(L62:O62,1)+LARGE(L62:O62,2)+LARGE(L62:O62,3)</f>
        <v>26.5</v>
      </c>
      <c r="Q62" s="10" t="n">
        <f aca="false">COUNTIFS(Error_Log!$A:$A,$B62,Error_Log!$F:$F,"Error")</f>
        <v>4</v>
      </c>
      <c r="R62" s="11" t="n">
        <v>6</v>
      </c>
      <c r="S62" s="7" t="s">
        <v>223</v>
      </c>
      <c r="T62" s="7" t="s">
        <v>265</v>
      </c>
      <c r="U62" s="7" t="n">
        <v>5</v>
      </c>
    </row>
    <row r="63" customFormat="false" ht="23.85" hidden="false" customHeight="false" outlineLevel="0" collapsed="false">
      <c r="A63" s="7" t="n">
        <v>59</v>
      </c>
      <c r="B63" s="7" t="s">
        <v>266</v>
      </c>
      <c r="C63" s="7" t="s">
        <v>267</v>
      </c>
      <c r="D63" s="7" t="s">
        <v>139</v>
      </c>
      <c r="E63" s="7" t="s">
        <v>27</v>
      </c>
      <c r="F63" s="7" t="s">
        <v>48</v>
      </c>
      <c r="G63" s="7" t="s">
        <v>185</v>
      </c>
      <c r="H63" s="8" t="n">
        <f aca="false">SUM(Part_Marks!C63:E63)</f>
        <v>10</v>
      </c>
      <c r="I63" s="8" t="n">
        <f aca="false">SUM(Part_Marks!F63:I63)</f>
        <v>6.5</v>
      </c>
      <c r="J63" s="8" t="n">
        <f aca="false">SUM(Part_Marks!J63:M63)</f>
        <v>9.5</v>
      </c>
      <c r="K63" s="8" t="n">
        <f aca="false">SUM(Part_Marks!N63:Q63)</f>
        <v>7.5</v>
      </c>
      <c r="L63" s="8" t="n">
        <f aca="false">IF(ISNUMBER(SEARCH("Q1",$G63)),0,H63)</f>
        <v>0</v>
      </c>
      <c r="M63" s="8" t="n">
        <f aca="false">IF(ISNUMBER(SEARCH("Q2",$G63)),0,I63)</f>
        <v>6.5</v>
      </c>
      <c r="N63" s="8" t="n">
        <f aca="false">IF(ISNUMBER(SEARCH("Q3",$G63)),0,J63)</f>
        <v>9.5</v>
      </c>
      <c r="O63" s="8" t="n">
        <f aca="false">IF(ISNUMBER(SEARCH("Q4",$G63)),0,K63)</f>
        <v>7.5</v>
      </c>
      <c r="P63" s="9" t="n">
        <f aca="false">LARGE(L63:O63,1)+LARGE(L63:O63,2)+LARGE(L63:O63,3)</f>
        <v>23.5</v>
      </c>
      <c r="Q63" s="10" t="n">
        <f aca="false">COUNTIFS(Error_Log!$A:$A,$B63,Error_Log!$F:$F,"Error")</f>
        <v>4</v>
      </c>
      <c r="R63" s="11" t="n">
        <v>20</v>
      </c>
      <c r="S63" s="7" t="s">
        <v>268</v>
      </c>
      <c r="T63" s="7" t="s">
        <v>269</v>
      </c>
      <c r="U63" s="7" t="n">
        <v>5</v>
      </c>
    </row>
    <row r="64" customFormat="false" ht="23.85" hidden="false" customHeight="false" outlineLevel="0" collapsed="false">
      <c r="A64" s="7" t="n">
        <v>60</v>
      </c>
      <c r="B64" s="7" t="s">
        <v>270</v>
      </c>
      <c r="C64" s="7" t="s">
        <v>271</v>
      </c>
      <c r="D64" s="7" t="s">
        <v>145</v>
      </c>
      <c r="E64" s="7" t="s">
        <v>27</v>
      </c>
      <c r="F64" s="7" t="s">
        <v>48</v>
      </c>
      <c r="G64" s="7" t="s">
        <v>29</v>
      </c>
      <c r="H64" s="8" t="n">
        <f aca="false">SUM(Part_Marks!C64:E64)</f>
        <v>8</v>
      </c>
      <c r="I64" s="8" t="n">
        <f aca="false">SUM(Part_Marks!F64:I64)</f>
        <v>8.5</v>
      </c>
      <c r="J64" s="8" t="n">
        <f aca="false">SUM(Part_Marks!J64:M64)</f>
        <v>8</v>
      </c>
      <c r="K64" s="8" t="n">
        <f aca="false">SUM(Part_Marks!N64:Q64)</f>
        <v>9.5</v>
      </c>
      <c r="L64" s="8" t="n">
        <f aca="false">IF(ISNUMBER(SEARCH("Q1",$G64)),0,H64)</f>
        <v>8</v>
      </c>
      <c r="M64" s="8" t="n">
        <f aca="false">IF(ISNUMBER(SEARCH("Q2",$G64)),0,I64)</f>
        <v>8.5</v>
      </c>
      <c r="N64" s="8" t="n">
        <f aca="false">IF(ISNUMBER(SEARCH("Q3",$G64)),0,J64)</f>
        <v>8</v>
      </c>
      <c r="O64" s="8" t="n">
        <f aca="false">IF(ISNUMBER(SEARCH("Q4",$G64)),0,K64)</f>
        <v>9.5</v>
      </c>
      <c r="P64" s="9" t="n">
        <f aca="false">LARGE(L64:O64,1)+LARGE(L64:O64,2)+LARGE(L64:O64,3)</f>
        <v>26</v>
      </c>
      <c r="Q64" s="10" t="n">
        <f aca="false">COUNTIFS(Error_Log!$A:$A,$B64,Error_Log!$F:$F,"Error")</f>
        <v>6</v>
      </c>
      <c r="R64" s="11" t="n">
        <v>14</v>
      </c>
      <c r="S64" s="7" t="s">
        <v>272</v>
      </c>
      <c r="T64" s="7" t="s">
        <v>273</v>
      </c>
      <c r="U64" s="7" t="n">
        <v>5</v>
      </c>
    </row>
    <row r="66" customFormat="false" ht="15" hidden="false" customHeight="false" outlineLevel="0" collapsed="false">
      <c r="C66" s="12" t="s">
        <v>274</v>
      </c>
      <c r="P66" s="13" t="n">
        <f aca="false">AVERAGE(P5:P64)</f>
        <v>22.35</v>
      </c>
    </row>
    <row r="67" customFormat="false" ht="15" hidden="false" customHeight="false" outlineLevel="0" collapsed="false">
      <c r="C67" s="12" t="s">
        <v>275</v>
      </c>
      <c r="P67" s="14" t="str">
        <f aca="false">MAX(P5:P64)&amp;" / "&amp;MIN(P5:P64)</f>
        <v>30 / 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17" min="3" style="0" width="8"/>
  </cols>
  <sheetData>
    <row r="1" customFormat="false" ht="16.1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3" customFormat="false" ht="15" hidden="false" customHeight="false" outlineLevel="0" collapsed="false">
      <c r="A3" s="3" t="s">
        <v>3</v>
      </c>
      <c r="B3" s="3" t="s">
        <v>4</v>
      </c>
      <c r="C3" s="3" t="s">
        <v>278</v>
      </c>
      <c r="D3" s="3" t="s">
        <v>279</v>
      </c>
      <c r="E3" s="3" t="s">
        <v>280</v>
      </c>
      <c r="F3" s="3" t="s">
        <v>281</v>
      </c>
      <c r="G3" s="3" t="s">
        <v>282</v>
      </c>
      <c r="H3" s="3" t="s">
        <v>283</v>
      </c>
      <c r="I3" s="3" t="s">
        <v>284</v>
      </c>
      <c r="J3" s="3" t="s">
        <v>285</v>
      </c>
      <c r="K3" s="3" t="s">
        <v>286</v>
      </c>
      <c r="L3" s="3" t="s">
        <v>287</v>
      </c>
      <c r="M3" s="3" t="s">
        <v>288</v>
      </c>
      <c r="N3" s="3" t="s">
        <v>289</v>
      </c>
      <c r="O3" s="3" t="s">
        <v>290</v>
      </c>
      <c r="P3" s="3" t="s">
        <v>291</v>
      </c>
      <c r="Q3" s="3" t="s">
        <v>292</v>
      </c>
    </row>
    <row r="4" customFormat="false" ht="15" hidden="false" customHeight="false" outlineLevel="0" collapsed="false">
      <c r="A4" s="4" t="s">
        <v>293</v>
      </c>
      <c r="B4" s="5"/>
      <c r="C4" s="15" t="n">
        <v>4</v>
      </c>
      <c r="D4" s="15" t="n">
        <v>3</v>
      </c>
      <c r="E4" s="15" t="n">
        <v>3</v>
      </c>
      <c r="F4" s="15" t="n">
        <v>2</v>
      </c>
      <c r="G4" s="15" t="n">
        <v>2</v>
      </c>
      <c r="H4" s="15" t="n">
        <v>4</v>
      </c>
      <c r="I4" s="15" t="n">
        <v>2</v>
      </c>
      <c r="J4" s="15" t="n">
        <v>2</v>
      </c>
      <c r="K4" s="15" t="n">
        <v>2</v>
      </c>
      <c r="L4" s="15" t="n">
        <v>4</v>
      </c>
      <c r="M4" s="15" t="n">
        <v>2</v>
      </c>
      <c r="N4" s="15" t="n">
        <v>2</v>
      </c>
      <c r="O4" s="15" t="n">
        <v>2</v>
      </c>
      <c r="P4" s="15" t="n">
        <v>4</v>
      </c>
      <c r="Q4" s="15" t="n">
        <v>2</v>
      </c>
    </row>
    <row r="5" customFormat="false" ht="15" hidden="false" customHeight="false" outlineLevel="0" collapsed="false">
      <c r="A5" s="2" t="s">
        <v>24</v>
      </c>
      <c r="B5" s="2" t="s">
        <v>25</v>
      </c>
      <c r="C5" s="16" t="n">
        <v>4</v>
      </c>
      <c r="D5" s="16" t="n">
        <v>3</v>
      </c>
      <c r="E5" s="16" t="n">
        <v>3</v>
      </c>
      <c r="F5" s="16" t="n">
        <v>2</v>
      </c>
      <c r="G5" s="16" t="n">
        <v>2</v>
      </c>
      <c r="H5" s="16" t="n">
        <v>4</v>
      </c>
      <c r="I5" s="16" t="n">
        <v>2</v>
      </c>
      <c r="J5" s="16" t="n">
        <v>2</v>
      </c>
      <c r="K5" s="16" t="n">
        <v>2</v>
      </c>
      <c r="L5" s="16" t="n">
        <v>4</v>
      </c>
      <c r="M5" s="16" t="n">
        <v>2</v>
      </c>
      <c r="N5" s="16" t="n">
        <v>0</v>
      </c>
      <c r="O5" s="16" t="n">
        <v>0</v>
      </c>
      <c r="P5" s="16" t="n">
        <v>0</v>
      </c>
      <c r="Q5" s="16" t="n">
        <v>0</v>
      </c>
    </row>
    <row r="6" customFormat="false" ht="15" hidden="false" customHeight="false" outlineLevel="0" collapsed="false">
      <c r="A6" s="2" t="s">
        <v>32</v>
      </c>
      <c r="B6" s="2" t="s">
        <v>33</v>
      </c>
      <c r="C6" s="16" t="n">
        <v>0</v>
      </c>
      <c r="D6" s="16" t="n">
        <v>0</v>
      </c>
      <c r="E6" s="16" t="n">
        <v>0</v>
      </c>
      <c r="F6" s="16" t="n">
        <v>2</v>
      </c>
      <c r="G6" s="16" t="n">
        <v>2</v>
      </c>
      <c r="H6" s="16" t="n">
        <v>4</v>
      </c>
      <c r="I6" s="16" t="n">
        <v>2</v>
      </c>
      <c r="J6" s="16" t="n">
        <v>2</v>
      </c>
      <c r="K6" s="16" t="n">
        <v>1.5</v>
      </c>
      <c r="L6" s="16" t="n">
        <v>4</v>
      </c>
      <c r="M6" s="16" t="n">
        <v>2</v>
      </c>
      <c r="N6" s="16" t="n">
        <v>2</v>
      </c>
      <c r="O6" s="16" t="n">
        <v>2</v>
      </c>
      <c r="P6" s="16" t="n">
        <v>4</v>
      </c>
      <c r="Q6" s="16" t="n">
        <v>1.5</v>
      </c>
    </row>
    <row r="7" customFormat="false" ht="15" hidden="false" customHeight="false" outlineLevel="0" collapsed="false">
      <c r="A7" s="2" t="s">
        <v>39</v>
      </c>
      <c r="B7" s="2" t="s">
        <v>40</v>
      </c>
      <c r="C7" s="16" t="n">
        <v>2</v>
      </c>
      <c r="D7" s="16" t="n">
        <v>2.5</v>
      </c>
      <c r="E7" s="16" t="n">
        <v>2</v>
      </c>
      <c r="F7" s="16" t="n">
        <v>1.5</v>
      </c>
      <c r="G7" s="16" t="n">
        <v>1</v>
      </c>
      <c r="H7" s="16" t="n">
        <v>2</v>
      </c>
      <c r="I7" s="16" t="n">
        <v>1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2</v>
      </c>
      <c r="O7" s="16" t="n">
        <v>1</v>
      </c>
      <c r="P7" s="16" t="n">
        <v>3</v>
      </c>
      <c r="Q7" s="16" t="n">
        <v>1</v>
      </c>
    </row>
    <row r="8" customFormat="false" ht="15" hidden="false" customHeight="false" outlineLevel="0" collapsed="false">
      <c r="A8" s="2" t="s">
        <v>45</v>
      </c>
      <c r="B8" s="2" t="s">
        <v>46</v>
      </c>
      <c r="C8" s="16" t="n">
        <v>2</v>
      </c>
      <c r="D8" s="16" t="n">
        <v>1.5</v>
      </c>
      <c r="E8" s="16" t="n">
        <v>0</v>
      </c>
      <c r="F8" s="16" t="n">
        <v>2</v>
      </c>
      <c r="G8" s="16" t="n">
        <v>1.5</v>
      </c>
      <c r="H8" s="16" t="n">
        <v>4</v>
      </c>
      <c r="I8" s="16" t="n">
        <v>1.5</v>
      </c>
      <c r="J8" s="16" t="n">
        <v>1</v>
      </c>
      <c r="K8" s="16" t="n">
        <v>1.5</v>
      </c>
      <c r="L8" s="16" t="n">
        <v>3</v>
      </c>
      <c r="M8" s="16" t="n">
        <v>1</v>
      </c>
      <c r="N8" s="16" t="n">
        <v>2</v>
      </c>
      <c r="O8" s="16" t="n">
        <v>1</v>
      </c>
      <c r="P8" s="16" t="n">
        <v>4</v>
      </c>
      <c r="Q8" s="16" t="n">
        <v>1</v>
      </c>
    </row>
    <row r="9" customFormat="false" ht="15" hidden="false" customHeight="false" outlineLevel="0" collapsed="false">
      <c r="A9" s="2" t="s">
        <v>52</v>
      </c>
      <c r="B9" s="2" t="s">
        <v>53</v>
      </c>
      <c r="C9" s="16" t="n">
        <v>0</v>
      </c>
      <c r="D9" s="16" t="n">
        <v>0</v>
      </c>
      <c r="E9" s="16" t="n">
        <v>3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2</v>
      </c>
      <c r="K9" s="16" t="n">
        <v>0</v>
      </c>
      <c r="L9" s="16" t="n">
        <v>0</v>
      </c>
      <c r="M9" s="16" t="n">
        <v>2</v>
      </c>
      <c r="N9" s="16" t="n">
        <v>0</v>
      </c>
      <c r="O9" s="16" t="n">
        <v>0</v>
      </c>
      <c r="P9" s="16" t="n">
        <v>0</v>
      </c>
      <c r="Q9" s="16" t="n">
        <v>2</v>
      </c>
    </row>
    <row r="10" customFormat="false" ht="15" hidden="false" customHeight="false" outlineLevel="0" collapsed="false">
      <c r="A10" s="2" t="s">
        <v>58</v>
      </c>
      <c r="B10" s="2" t="s">
        <v>59</v>
      </c>
      <c r="C10" s="16" t="n">
        <v>4</v>
      </c>
      <c r="D10" s="16" t="n">
        <v>3</v>
      </c>
      <c r="E10" s="16" t="n">
        <v>3</v>
      </c>
      <c r="F10" s="16" t="n">
        <v>1.5</v>
      </c>
      <c r="G10" s="16" t="n">
        <v>2</v>
      </c>
      <c r="H10" s="16" t="n">
        <v>2.5</v>
      </c>
      <c r="I10" s="16" t="n">
        <v>2</v>
      </c>
      <c r="J10" s="16" t="n">
        <v>2</v>
      </c>
      <c r="K10" s="16" t="n">
        <v>2</v>
      </c>
      <c r="L10" s="16" t="n">
        <v>4</v>
      </c>
      <c r="M10" s="16" t="n">
        <v>1</v>
      </c>
      <c r="N10" s="16" t="n">
        <v>2</v>
      </c>
      <c r="O10" s="16" t="n">
        <v>1</v>
      </c>
      <c r="P10" s="16" t="n">
        <v>3</v>
      </c>
      <c r="Q10" s="16" t="n">
        <v>1.5</v>
      </c>
    </row>
    <row r="11" customFormat="false" ht="15" hidden="false" customHeight="false" outlineLevel="0" collapsed="false">
      <c r="A11" s="2" t="s">
        <v>63</v>
      </c>
      <c r="B11" s="2" t="s">
        <v>64</v>
      </c>
      <c r="C11" s="16" t="n">
        <v>0</v>
      </c>
      <c r="D11" s="16" t="n">
        <v>0</v>
      </c>
      <c r="E11" s="16" t="n">
        <v>0</v>
      </c>
      <c r="F11" s="16" t="n">
        <v>1</v>
      </c>
      <c r="G11" s="16" t="n">
        <v>1</v>
      </c>
      <c r="H11" s="16" t="n">
        <v>0.5</v>
      </c>
      <c r="I11" s="16" t="n">
        <v>1</v>
      </c>
      <c r="J11" s="16" t="n">
        <v>0</v>
      </c>
      <c r="K11" s="16" t="n">
        <v>1</v>
      </c>
      <c r="L11" s="16" t="n">
        <v>1</v>
      </c>
      <c r="M11" s="16" t="n">
        <v>0</v>
      </c>
      <c r="N11" s="16" t="n">
        <v>0.5</v>
      </c>
      <c r="O11" s="16" t="n">
        <v>0</v>
      </c>
      <c r="P11" s="16" t="n">
        <v>1</v>
      </c>
      <c r="Q11" s="16" t="n">
        <v>1</v>
      </c>
    </row>
    <row r="12" customFormat="false" ht="15" hidden="false" customHeight="false" outlineLevel="0" collapsed="false">
      <c r="A12" s="2" t="s">
        <v>68</v>
      </c>
      <c r="B12" s="2" t="s">
        <v>69</v>
      </c>
      <c r="C12" s="16" t="n">
        <v>4</v>
      </c>
      <c r="D12" s="16" t="n">
        <v>3</v>
      </c>
      <c r="E12" s="16" t="n">
        <v>2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2</v>
      </c>
      <c r="O12" s="16" t="n">
        <v>1</v>
      </c>
      <c r="P12" s="16" t="n">
        <v>4</v>
      </c>
      <c r="Q12" s="16" t="n">
        <v>1.5</v>
      </c>
    </row>
    <row r="13" customFormat="false" ht="15" hidden="false" customHeight="false" outlineLevel="0" collapsed="false">
      <c r="A13" s="2" t="s">
        <v>74</v>
      </c>
      <c r="B13" s="2" t="s">
        <v>75</v>
      </c>
      <c r="C13" s="16" t="n">
        <v>2</v>
      </c>
      <c r="D13" s="16" t="n">
        <v>3</v>
      </c>
      <c r="E13" s="16" t="n">
        <v>3</v>
      </c>
      <c r="F13" s="16" t="n">
        <v>2</v>
      </c>
      <c r="G13" s="16" t="n">
        <v>1.5</v>
      </c>
      <c r="H13" s="16" t="n">
        <v>2</v>
      </c>
      <c r="I13" s="16" t="n">
        <v>1</v>
      </c>
      <c r="J13" s="16" t="n">
        <v>1</v>
      </c>
      <c r="K13" s="16" t="n">
        <v>1</v>
      </c>
      <c r="L13" s="16" t="n">
        <v>2</v>
      </c>
      <c r="M13" s="16" t="n">
        <v>2</v>
      </c>
      <c r="N13" s="16" t="n">
        <v>0</v>
      </c>
      <c r="O13" s="16" t="n">
        <v>0</v>
      </c>
      <c r="P13" s="16" t="n">
        <v>0</v>
      </c>
      <c r="Q13" s="16" t="n">
        <v>0</v>
      </c>
    </row>
    <row r="14" customFormat="false" ht="15" hidden="false" customHeight="false" outlineLevel="0" collapsed="false">
      <c r="A14" s="2" t="s">
        <v>80</v>
      </c>
      <c r="B14" s="2" t="s">
        <v>81</v>
      </c>
      <c r="C14" s="16" t="n">
        <v>4</v>
      </c>
      <c r="D14" s="16" t="n">
        <v>2.5</v>
      </c>
      <c r="E14" s="16" t="n">
        <v>3</v>
      </c>
      <c r="F14" s="16" t="n">
        <v>2</v>
      </c>
      <c r="G14" s="16" t="n">
        <v>2</v>
      </c>
      <c r="H14" s="16" t="n">
        <v>4</v>
      </c>
      <c r="I14" s="16" t="n">
        <v>2</v>
      </c>
      <c r="J14" s="16" t="n">
        <v>2</v>
      </c>
      <c r="K14" s="16" t="n">
        <v>1</v>
      </c>
      <c r="L14" s="16" t="n">
        <v>4</v>
      </c>
      <c r="M14" s="16" t="n">
        <v>2</v>
      </c>
      <c r="N14" s="16" t="n">
        <v>2</v>
      </c>
      <c r="O14" s="16" t="n">
        <v>2</v>
      </c>
      <c r="P14" s="16" t="n">
        <v>4</v>
      </c>
      <c r="Q14" s="16" t="n">
        <v>2</v>
      </c>
    </row>
    <row r="15" customFormat="false" ht="15" hidden="false" customHeight="false" outlineLevel="0" collapsed="false">
      <c r="A15" s="2" t="s">
        <v>85</v>
      </c>
      <c r="B15" s="2" t="s">
        <v>86</v>
      </c>
      <c r="C15" s="16" t="n">
        <v>3.5</v>
      </c>
      <c r="D15" s="16" t="n">
        <v>2.5</v>
      </c>
      <c r="E15" s="16" t="n">
        <v>3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2</v>
      </c>
      <c r="K15" s="16" t="n">
        <v>1.5</v>
      </c>
      <c r="L15" s="16" t="n">
        <v>2</v>
      </c>
      <c r="M15" s="16" t="n">
        <v>1</v>
      </c>
      <c r="N15" s="16" t="n">
        <v>1</v>
      </c>
      <c r="O15" s="16" t="n">
        <v>1</v>
      </c>
      <c r="P15" s="16" t="n">
        <v>3</v>
      </c>
      <c r="Q15" s="16" t="n">
        <v>1.5</v>
      </c>
    </row>
    <row r="16" customFormat="false" ht="15" hidden="false" customHeight="false" outlineLevel="0" collapsed="false">
      <c r="A16" s="2" t="s">
        <v>90</v>
      </c>
      <c r="B16" s="2" t="s">
        <v>91</v>
      </c>
      <c r="C16" s="16" t="n">
        <v>0</v>
      </c>
      <c r="D16" s="16" t="n">
        <v>0</v>
      </c>
      <c r="E16" s="16" t="n">
        <v>0</v>
      </c>
      <c r="F16" s="16" t="n">
        <v>2</v>
      </c>
      <c r="G16" s="16" t="n">
        <v>2</v>
      </c>
      <c r="H16" s="16" t="n">
        <v>4</v>
      </c>
      <c r="I16" s="16" t="n">
        <v>1.5</v>
      </c>
      <c r="J16" s="16" t="n">
        <v>2</v>
      </c>
      <c r="K16" s="16" t="n">
        <v>2</v>
      </c>
      <c r="L16" s="16" t="n">
        <v>3</v>
      </c>
      <c r="M16" s="16" t="n">
        <v>2</v>
      </c>
      <c r="N16" s="16" t="n">
        <v>2</v>
      </c>
      <c r="O16" s="16" t="n">
        <v>1</v>
      </c>
      <c r="P16" s="16" t="n">
        <v>4</v>
      </c>
      <c r="Q16" s="16" t="n">
        <v>2</v>
      </c>
    </row>
    <row r="17" customFormat="false" ht="15" hidden="false" customHeight="false" outlineLevel="0" collapsed="false">
      <c r="A17" s="2" t="s">
        <v>95</v>
      </c>
      <c r="B17" s="2" t="s">
        <v>96</v>
      </c>
      <c r="C17" s="16" t="n">
        <v>4</v>
      </c>
      <c r="D17" s="16" t="n">
        <v>3</v>
      </c>
      <c r="E17" s="16" t="n">
        <v>3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2</v>
      </c>
      <c r="K17" s="16" t="n">
        <v>2</v>
      </c>
      <c r="L17" s="16" t="n">
        <v>4</v>
      </c>
      <c r="M17" s="16" t="n">
        <v>2</v>
      </c>
      <c r="N17" s="16" t="n">
        <v>1</v>
      </c>
      <c r="O17" s="16" t="n">
        <v>2</v>
      </c>
      <c r="P17" s="16" t="n">
        <v>4</v>
      </c>
      <c r="Q17" s="16" t="n">
        <v>2</v>
      </c>
    </row>
    <row r="18" customFormat="false" ht="15" hidden="false" customHeight="false" outlineLevel="0" collapsed="false">
      <c r="A18" s="2" t="s">
        <v>100</v>
      </c>
      <c r="B18" s="2" t="s">
        <v>101</v>
      </c>
      <c r="C18" s="16" t="n">
        <v>4</v>
      </c>
      <c r="D18" s="16" t="n">
        <v>1.5</v>
      </c>
      <c r="E18" s="16" t="n">
        <v>3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2</v>
      </c>
      <c r="K18" s="16" t="n">
        <v>1.5</v>
      </c>
      <c r="L18" s="16" t="n">
        <v>3</v>
      </c>
      <c r="M18" s="16" t="n">
        <v>0</v>
      </c>
      <c r="N18" s="16" t="n">
        <v>1</v>
      </c>
      <c r="O18" s="16" t="n">
        <v>2</v>
      </c>
      <c r="P18" s="16" t="n">
        <v>2.5</v>
      </c>
      <c r="Q18" s="16" t="n">
        <v>1</v>
      </c>
    </row>
    <row r="19" customFormat="false" ht="15" hidden="false" customHeight="false" outlineLevel="0" collapsed="false">
      <c r="A19" s="2" t="s">
        <v>105</v>
      </c>
      <c r="B19" s="2" t="s">
        <v>106</v>
      </c>
      <c r="C19" s="16" t="n">
        <v>2</v>
      </c>
      <c r="D19" s="16" t="n">
        <v>1.5</v>
      </c>
      <c r="E19" s="16" t="n">
        <v>3</v>
      </c>
      <c r="F19" s="16" t="n">
        <v>2</v>
      </c>
      <c r="G19" s="16" t="n">
        <v>2</v>
      </c>
      <c r="H19" s="16" t="n">
        <v>4</v>
      </c>
      <c r="I19" s="16" t="n">
        <v>2</v>
      </c>
      <c r="J19" s="16" t="n">
        <v>2</v>
      </c>
      <c r="K19" s="16" t="n">
        <v>1.5</v>
      </c>
      <c r="L19" s="16" t="n">
        <v>2</v>
      </c>
      <c r="M19" s="16" t="n">
        <v>2</v>
      </c>
      <c r="N19" s="16" t="n">
        <v>0</v>
      </c>
      <c r="O19" s="16" t="n">
        <v>0</v>
      </c>
      <c r="P19" s="16" t="n">
        <v>0</v>
      </c>
      <c r="Q19" s="16" t="n">
        <v>0</v>
      </c>
    </row>
    <row r="20" customFormat="false" ht="15" hidden="false" customHeight="false" outlineLevel="0" collapsed="false">
      <c r="A20" s="2" t="s">
        <v>108</v>
      </c>
      <c r="B20" s="2" t="s">
        <v>109</v>
      </c>
      <c r="C20" s="16" t="n">
        <v>2</v>
      </c>
      <c r="D20" s="16" t="n">
        <v>3</v>
      </c>
      <c r="E20" s="16" t="n">
        <v>2</v>
      </c>
      <c r="F20" s="16" t="n">
        <v>1.5</v>
      </c>
      <c r="G20" s="16" t="n">
        <v>2</v>
      </c>
      <c r="H20" s="16" t="n">
        <v>4</v>
      </c>
      <c r="I20" s="16" t="n">
        <v>2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2</v>
      </c>
      <c r="O20" s="16" t="n">
        <v>2</v>
      </c>
      <c r="P20" s="16" t="n">
        <v>2.5</v>
      </c>
      <c r="Q20" s="16" t="n">
        <v>2</v>
      </c>
    </row>
    <row r="21" customFormat="false" ht="15" hidden="false" customHeight="false" outlineLevel="0" collapsed="false">
      <c r="A21" s="2" t="s">
        <v>113</v>
      </c>
      <c r="B21" s="2" t="s">
        <v>114</v>
      </c>
      <c r="C21" s="16" t="n">
        <v>2</v>
      </c>
      <c r="D21" s="16" t="n">
        <v>2</v>
      </c>
      <c r="E21" s="16" t="n">
        <v>3</v>
      </c>
      <c r="F21" s="16" t="n">
        <v>2</v>
      </c>
      <c r="G21" s="16" t="n">
        <v>2</v>
      </c>
      <c r="H21" s="16" t="n">
        <v>2.5</v>
      </c>
      <c r="I21" s="16" t="n">
        <v>2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2</v>
      </c>
      <c r="O21" s="16" t="n">
        <v>2</v>
      </c>
      <c r="P21" s="16" t="n">
        <v>4</v>
      </c>
      <c r="Q21" s="16" t="n">
        <v>1</v>
      </c>
    </row>
    <row r="22" customFormat="false" ht="15" hidden="false" customHeight="false" outlineLevel="0" collapsed="false">
      <c r="A22" s="2" t="s">
        <v>116</v>
      </c>
      <c r="B22" s="2" t="s">
        <v>117</v>
      </c>
      <c r="C22" s="16" t="n">
        <v>2</v>
      </c>
      <c r="D22" s="16" t="n">
        <v>2</v>
      </c>
      <c r="E22" s="16" t="n">
        <v>2</v>
      </c>
      <c r="F22" s="16" t="n">
        <v>2</v>
      </c>
      <c r="G22" s="16" t="n">
        <v>1</v>
      </c>
      <c r="H22" s="16" t="n">
        <v>2.5</v>
      </c>
      <c r="I22" s="16" t="n">
        <v>1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2</v>
      </c>
      <c r="O22" s="16" t="n">
        <v>2</v>
      </c>
      <c r="P22" s="16" t="n">
        <v>3.5</v>
      </c>
      <c r="Q22" s="16" t="n">
        <v>1</v>
      </c>
    </row>
    <row r="23" customFormat="false" ht="15" hidden="false" customHeight="false" outlineLevel="0" collapsed="false">
      <c r="A23" s="2" t="s">
        <v>119</v>
      </c>
      <c r="B23" s="2" t="s">
        <v>120</v>
      </c>
      <c r="C23" s="16" t="n">
        <v>2</v>
      </c>
      <c r="D23" s="16" t="n">
        <v>3</v>
      </c>
      <c r="E23" s="16" t="n">
        <v>0</v>
      </c>
      <c r="F23" s="16" t="n">
        <v>1</v>
      </c>
      <c r="G23" s="16" t="n">
        <v>1</v>
      </c>
      <c r="H23" s="16" t="n">
        <v>2</v>
      </c>
      <c r="I23" s="16" t="n">
        <v>1</v>
      </c>
      <c r="J23" s="16" t="n">
        <v>2</v>
      </c>
      <c r="K23" s="16" t="n">
        <v>1.5</v>
      </c>
      <c r="L23" s="16" t="n">
        <v>2</v>
      </c>
      <c r="M23" s="16" t="n">
        <v>1</v>
      </c>
      <c r="N23" s="16" t="n">
        <v>0</v>
      </c>
      <c r="O23" s="16" t="n">
        <v>0</v>
      </c>
      <c r="P23" s="16" t="n">
        <v>0</v>
      </c>
      <c r="Q23" s="16" t="n">
        <v>0</v>
      </c>
    </row>
    <row r="24" customFormat="false" ht="15" hidden="false" customHeight="false" outlineLevel="0" collapsed="false">
      <c r="A24" s="2" t="s">
        <v>123</v>
      </c>
      <c r="B24" s="2" t="s">
        <v>124</v>
      </c>
      <c r="C24" s="16" t="n">
        <v>2</v>
      </c>
      <c r="D24" s="16" t="n">
        <v>1.5</v>
      </c>
      <c r="E24" s="16" t="n">
        <v>3</v>
      </c>
      <c r="F24" s="16" t="n">
        <v>1.5</v>
      </c>
      <c r="G24" s="16" t="n">
        <v>1</v>
      </c>
      <c r="H24" s="16" t="n">
        <v>0.5</v>
      </c>
      <c r="I24" s="16" t="n">
        <v>1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0.5</v>
      </c>
      <c r="O24" s="16" t="n">
        <v>0</v>
      </c>
      <c r="P24" s="16" t="n">
        <v>3.5</v>
      </c>
      <c r="Q24" s="16" t="n">
        <v>2</v>
      </c>
    </row>
    <row r="25" customFormat="false" ht="15" hidden="false" customHeight="false" outlineLevel="0" collapsed="false">
      <c r="A25" s="2" t="s">
        <v>126</v>
      </c>
      <c r="B25" s="2" t="s">
        <v>127</v>
      </c>
      <c r="C25" s="16" t="n">
        <v>0</v>
      </c>
      <c r="D25" s="16" t="n">
        <v>0</v>
      </c>
      <c r="E25" s="16" t="n">
        <v>0</v>
      </c>
      <c r="F25" s="16" t="n">
        <v>1</v>
      </c>
      <c r="G25" s="16" t="n">
        <v>1</v>
      </c>
      <c r="H25" s="16" t="n">
        <v>0.5</v>
      </c>
      <c r="I25" s="16" t="n">
        <v>1.5</v>
      </c>
      <c r="J25" s="16" t="n">
        <v>1</v>
      </c>
      <c r="K25" s="16" t="n">
        <v>0</v>
      </c>
      <c r="L25" s="16" t="n">
        <v>4</v>
      </c>
      <c r="M25" s="16" t="n">
        <v>2</v>
      </c>
      <c r="N25" s="16" t="n">
        <v>0</v>
      </c>
      <c r="O25" s="16" t="n">
        <v>2</v>
      </c>
      <c r="P25" s="16" t="n">
        <v>4</v>
      </c>
      <c r="Q25" s="16" t="n">
        <v>1</v>
      </c>
    </row>
    <row r="26" customFormat="false" ht="15" hidden="false" customHeight="false" outlineLevel="0" collapsed="false">
      <c r="A26" s="2" t="s">
        <v>131</v>
      </c>
      <c r="B26" s="2" t="s">
        <v>132</v>
      </c>
      <c r="C26" s="16" t="n">
        <v>4</v>
      </c>
      <c r="D26" s="16" t="n">
        <v>2.5</v>
      </c>
      <c r="E26" s="16" t="n">
        <v>3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1.5</v>
      </c>
      <c r="L26" s="16" t="n">
        <v>2</v>
      </c>
      <c r="M26" s="16" t="n">
        <v>2</v>
      </c>
      <c r="N26" s="16" t="n">
        <v>0</v>
      </c>
      <c r="O26" s="16" t="n">
        <v>0</v>
      </c>
      <c r="P26" s="16" t="n">
        <v>0</v>
      </c>
      <c r="Q26" s="16" t="n">
        <v>0</v>
      </c>
    </row>
    <row r="27" customFormat="false" ht="15" hidden="false" customHeight="false" outlineLevel="0" collapsed="false">
      <c r="A27" s="2" t="s">
        <v>137</v>
      </c>
      <c r="B27" s="2" t="s">
        <v>138</v>
      </c>
      <c r="C27" s="16" t="n">
        <v>4</v>
      </c>
      <c r="D27" s="16" t="n">
        <v>3</v>
      </c>
      <c r="E27" s="16" t="n">
        <v>3</v>
      </c>
      <c r="F27" s="16" t="n">
        <v>1.5</v>
      </c>
      <c r="G27" s="16" t="n">
        <v>2</v>
      </c>
      <c r="H27" s="16" t="n">
        <v>2.5</v>
      </c>
      <c r="I27" s="16" t="n">
        <v>1</v>
      </c>
      <c r="J27" s="16" t="n">
        <v>0</v>
      </c>
      <c r="K27" s="16" t="n">
        <v>1</v>
      </c>
      <c r="L27" s="16" t="n">
        <v>4</v>
      </c>
      <c r="M27" s="16" t="n">
        <v>2</v>
      </c>
      <c r="N27" s="16" t="n">
        <v>2</v>
      </c>
      <c r="O27" s="16" t="n">
        <v>2</v>
      </c>
      <c r="P27" s="16" t="n">
        <v>4</v>
      </c>
      <c r="Q27" s="16" t="n">
        <v>2</v>
      </c>
    </row>
    <row r="28" customFormat="false" ht="15" hidden="false" customHeight="false" outlineLevel="0" collapsed="false">
      <c r="A28" s="2" t="s">
        <v>143</v>
      </c>
      <c r="B28" s="2" t="s">
        <v>144</v>
      </c>
      <c r="C28" s="16" t="n">
        <v>4</v>
      </c>
      <c r="D28" s="16" t="n">
        <v>3</v>
      </c>
      <c r="E28" s="16" t="n">
        <v>3</v>
      </c>
      <c r="F28" s="16" t="n">
        <v>1.5</v>
      </c>
      <c r="G28" s="16" t="n">
        <v>1</v>
      </c>
      <c r="H28" s="16" t="n">
        <v>4</v>
      </c>
      <c r="I28" s="16" t="n">
        <v>2</v>
      </c>
      <c r="J28" s="16" t="n">
        <v>2</v>
      </c>
      <c r="K28" s="16" t="n">
        <v>1.5</v>
      </c>
      <c r="L28" s="16" t="n">
        <v>4</v>
      </c>
      <c r="M28" s="16" t="n">
        <v>1</v>
      </c>
      <c r="N28" s="16" t="n">
        <v>1</v>
      </c>
      <c r="O28" s="16" t="n">
        <v>2</v>
      </c>
      <c r="P28" s="16" t="n">
        <v>2.5</v>
      </c>
      <c r="Q28" s="16" t="n">
        <v>2</v>
      </c>
    </row>
    <row r="29" customFormat="false" ht="15" hidden="false" customHeight="false" outlineLevel="0" collapsed="false">
      <c r="A29" s="2" t="s">
        <v>148</v>
      </c>
      <c r="B29" s="2" t="s">
        <v>149</v>
      </c>
      <c r="C29" s="16" t="n">
        <v>0</v>
      </c>
      <c r="D29" s="16" t="n">
        <v>0</v>
      </c>
      <c r="E29" s="16" t="n">
        <v>0</v>
      </c>
      <c r="F29" s="16" t="n">
        <v>2</v>
      </c>
      <c r="G29" s="16" t="n">
        <v>2</v>
      </c>
      <c r="H29" s="16" t="n">
        <v>4</v>
      </c>
      <c r="I29" s="16" t="n">
        <v>1</v>
      </c>
      <c r="J29" s="16" t="n">
        <v>2</v>
      </c>
      <c r="K29" s="16" t="n">
        <v>2</v>
      </c>
      <c r="L29" s="16" t="n">
        <v>4</v>
      </c>
      <c r="M29" s="16" t="n">
        <v>2</v>
      </c>
      <c r="N29" s="16" t="n">
        <v>2</v>
      </c>
      <c r="O29" s="16" t="n">
        <v>2</v>
      </c>
      <c r="P29" s="16" t="n">
        <v>4</v>
      </c>
      <c r="Q29" s="16" t="n">
        <v>2</v>
      </c>
    </row>
    <row r="30" customFormat="false" ht="15" hidden="false" customHeight="false" outlineLevel="0" collapsed="false">
      <c r="A30" s="2" t="s">
        <v>151</v>
      </c>
      <c r="B30" s="2" t="s">
        <v>152</v>
      </c>
      <c r="C30" s="16" t="n">
        <v>2</v>
      </c>
      <c r="D30" s="16" t="n">
        <v>3</v>
      </c>
      <c r="E30" s="16" t="n">
        <v>3</v>
      </c>
      <c r="F30" s="16" t="n">
        <v>1.5</v>
      </c>
      <c r="G30" s="16" t="n">
        <v>2</v>
      </c>
      <c r="H30" s="16" t="n">
        <v>4</v>
      </c>
      <c r="I30" s="16" t="n">
        <v>2</v>
      </c>
      <c r="J30" s="16" t="n">
        <v>0</v>
      </c>
      <c r="K30" s="16" t="n">
        <v>0</v>
      </c>
      <c r="L30" s="16" t="n">
        <v>0</v>
      </c>
      <c r="M30" s="16" t="n">
        <v>0</v>
      </c>
      <c r="N30" s="16" t="n">
        <v>0.5</v>
      </c>
      <c r="O30" s="16" t="n">
        <v>2</v>
      </c>
      <c r="P30" s="16" t="n">
        <v>4</v>
      </c>
      <c r="Q30" s="16" t="n">
        <v>2</v>
      </c>
    </row>
    <row r="31" customFormat="false" ht="15" hidden="false" customHeight="false" outlineLevel="0" collapsed="false">
      <c r="A31" s="2" t="s">
        <v>155</v>
      </c>
      <c r="B31" s="2" t="s">
        <v>156</v>
      </c>
      <c r="C31" s="16" t="n">
        <v>2</v>
      </c>
      <c r="D31" s="16" t="n">
        <v>2.5</v>
      </c>
      <c r="E31" s="16" t="n">
        <v>3</v>
      </c>
      <c r="F31" s="16" t="n">
        <v>2</v>
      </c>
      <c r="G31" s="16" t="n">
        <v>2</v>
      </c>
      <c r="H31" s="16" t="n">
        <v>4</v>
      </c>
      <c r="I31" s="16" t="n">
        <v>1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0.5</v>
      </c>
      <c r="O31" s="16" t="n">
        <v>2</v>
      </c>
      <c r="P31" s="16" t="n">
        <v>2.5</v>
      </c>
      <c r="Q31" s="16" t="n">
        <v>2</v>
      </c>
    </row>
    <row r="32" customFormat="false" ht="15" hidden="false" customHeight="false" outlineLevel="0" collapsed="false">
      <c r="A32" s="2" t="s">
        <v>158</v>
      </c>
      <c r="B32" s="2" t="s">
        <v>159</v>
      </c>
      <c r="C32" s="16" t="n">
        <v>4</v>
      </c>
      <c r="D32" s="16" t="n">
        <v>3</v>
      </c>
      <c r="E32" s="16" t="n">
        <v>2.5</v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2</v>
      </c>
      <c r="K32" s="16" t="n">
        <v>2</v>
      </c>
      <c r="L32" s="16" t="n">
        <v>3</v>
      </c>
      <c r="M32" s="16" t="n">
        <v>2</v>
      </c>
      <c r="N32" s="16" t="n">
        <v>0.5</v>
      </c>
      <c r="O32" s="16" t="n">
        <v>2</v>
      </c>
      <c r="P32" s="16" t="n">
        <v>3.5</v>
      </c>
      <c r="Q32" s="16" t="n">
        <v>1.5</v>
      </c>
    </row>
    <row r="33" customFormat="false" ht="15" hidden="false" customHeight="false" outlineLevel="0" collapsed="false">
      <c r="A33" s="2" t="s">
        <v>161</v>
      </c>
      <c r="B33" s="2" t="s">
        <v>162</v>
      </c>
      <c r="C33" s="16" t="n">
        <v>2</v>
      </c>
      <c r="D33" s="16" t="n">
        <v>2</v>
      </c>
      <c r="E33" s="16" t="n">
        <v>3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1</v>
      </c>
      <c r="L33" s="16" t="n">
        <v>1</v>
      </c>
      <c r="M33" s="16" t="n">
        <v>1</v>
      </c>
      <c r="N33" s="16" t="n">
        <v>2</v>
      </c>
      <c r="O33" s="16" t="n">
        <v>2</v>
      </c>
      <c r="P33" s="16" t="n">
        <v>3.5</v>
      </c>
      <c r="Q33" s="16" t="n">
        <v>1</v>
      </c>
    </row>
    <row r="34" customFormat="false" ht="15" hidden="false" customHeight="false" outlineLevel="0" collapsed="false">
      <c r="A34" s="2" t="s">
        <v>164</v>
      </c>
      <c r="B34" s="2" t="s">
        <v>165</v>
      </c>
      <c r="C34" s="16" t="n">
        <v>0</v>
      </c>
      <c r="D34" s="16" t="n">
        <v>0</v>
      </c>
      <c r="E34" s="16" t="n">
        <v>0</v>
      </c>
      <c r="F34" s="16" t="n">
        <v>1.5</v>
      </c>
      <c r="G34" s="16" t="n">
        <v>1</v>
      </c>
      <c r="H34" s="16" t="n">
        <v>2.5</v>
      </c>
      <c r="I34" s="16" t="n">
        <v>1.5</v>
      </c>
      <c r="J34" s="16" t="n">
        <v>1</v>
      </c>
      <c r="K34" s="16" t="n">
        <v>1</v>
      </c>
      <c r="L34" s="16" t="n">
        <v>2.5</v>
      </c>
      <c r="M34" s="16" t="n">
        <v>2</v>
      </c>
      <c r="N34" s="16" t="n">
        <v>1</v>
      </c>
      <c r="O34" s="16" t="n">
        <v>2</v>
      </c>
      <c r="P34" s="16" t="n">
        <v>3</v>
      </c>
      <c r="Q34" s="16" t="n">
        <v>2</v>
      </c>
    </row>
    <row r="35" customFormat="false" ht="15" hidden="false" customHeight="false" outlineLevel="0" collapsed="false">
      <c r="A35" s="2" t="s">
        <v>167</v>
      </c>
      <c r="B35" s="2" t="s">
        <v>168</v>
      </c>
      <c r="C35" s="16" t="n">
        <v>3</v>
      </c>
      <c r="D35" s="16" t="n">
        <v>2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1.5</v>
      </c>
      <c r="L35" s="16" t="n">
        <v>3</v>
      </c>
      <c r="M35" s="16" t="n">
        <v>0</v>
      </c>
      <c r="N35" s="16" t="n">
        <v>1</v>
      </c>
      <c r="O35" s="16" t="n">
        <v>0</v>
      </c>
      <c r="P35" s="16" t="n">
        <v>1</v>
      </c>
      <c r="Q35" s="16" t="n">
        <v>1</v>
      </c>
    </row>
    <row r="36" customFormat="false" ht="15" hidden="false" customHeight="false" outlineLevel="0" collapsed="false">
      <c r="A36" s="2" t="s">
        <v>170</v>
      </c>
      <c r="B36" s="2" t="s">
        <v>171</v>
      </c>
      <c r="C36" s="16" t="n">
        <v>3.5</v>
      </c>
      <c r="D36" s="16" t="n">
        <v>1.5</v>
      </c>
      <c r="E36" s="16" t="n">
        <v>2.5</v>
      </c>
      <c r="F36" s="16" t="n">
        <v>2</v>
      </c>
      <c r="G36" s="16" t="n">
        <v>1.5</v>
      </c>
      <c r="H36" s="16" t="n">
        <v>4</v>
      </c>
      <c r="I36" s="16" t="n">
        <v>2</v>
      </c>
      <c r="J36" s="16" t="n">
        <v>1</v>
      </c>
      <c r="K36" s="16" t="n">
        <v>1.5</v>
      </c>
      <c r="L36" s="16" t="n">
        <v>4</v>
      </c>
      <c r="M36" s="16" t="n">
        <v>2</v>
      </c>
      <c r="N36" s="16" t="n">
        <v>0</v>
      </c>
      <c r="O36" s="16" t="n">
        <v>0</v>
      </c>
      <c r="P36" s="16" t="n">
        <v>0</v>
      </c>
      <c r="Q36" s="16" t="n">
        <v>0</v>
      </c>
    </row>
    <row r="37" customFormat="false" ht="15" hidden="false" customHeight="false" outlineLevel="0" collapsed="false">
      <c r="A37" s="2" t="s">
        <v>175</v>
      </c>
      <c r="B37" s="2" t="s">
        <v>176</v>
      </c>
      <c r="C37" s="16" t="n">
        <v>4</v>
      </c>
      <c r="D37" s="16" t="n">
        <v>3</v>
      </c>
      <c r="E37" s="16" t="n">
        <v>3</v>
      </c>
      <c r="F37" s="16" t="n">
        <v>2</v>
      </c>
      <c r="G37" s="16" t="n">
        <v>2</v>
      </c>
      <c r="H37" s="16" t="n">
        <v>4</v>
      </c>
      <c r="I37" s="16" t="n">
        <v>1</v>
      </c>
      <c r="J37" s="16" t="n">
        <v>2</v>
      </c>
      <c r="K37" s="16" t="n">
        <v>2</v>
      </c>
      <c r="L37" s="16" t="n">
        <v>3</v>
      </c>
      <c r="M37" s="16" t="n">
        <v>2</v>
      </c>
      <c r="N37" s="16" t="n">
        <v>0</v>
      </c>
      <c r="O37" s="16" t="n">
        <v>0</v>
      </c>
      <c r="P37" s="16" t="n">
        <v>0</v>
      </c>
      <c r="Q37" s="16" t="n">
        <v>0</v>
      </c>
    </row>
    <row r="38" customFormat="false" ht="15" hidden="false" customHeight="false" outlineLevel="0" collapsed="false">
      <c r="A38" s="2" t="s">
        <v>179</v>
      </c>
      <c r="B38" s="2" t="s">
        <v>180</v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0</v>
      </c>
      <c r="J38" s="16" t="n">
        <v>2</v>
      </c>
      <c r="K38" s="16" t="n">
        <v>2</v>
      </c>
      <c r="L38" s="16" t="n">
        <v>2.5</v>
      </c>
      <c r="M38" s="16" t="n">
        <v>2</v>
      </c>
      <c r="N38" s="16" t="n">
        <v>2</v>
      </c>
      <c r="O38" s="16" t="n">
        <v>2</v>
      </c>
      <c r="P38" s="16" t="n">
        <v>4</v>
      </c>
      <c r="Q38" s="16" t="n">
        <v>2</v>
      </c>
    </row>
    <row r="39" customFormat="false" ht="15" hidden="false" customHeight="false" outlineLevel="0" collapsed="false">
      <c r="A39" s="2" t="s">
        <v>183</v>
      </c>
      <c r="B39" s="2" t="s">
        <v>184</v>
      </c>
      <c r="C39" s="16" t="n">
        <v>2</v>
      </c>
      <c r="D39" s="16" t="n">
        <v>2.5</v>
      </c>
      <c r="E39" s="16" t="n">
        <v>3</v>
      </c>
      <c r="F39" s="16" t="n">
        <v>2</v>
      </c>
      <c r="G39" s="16" t="n">
        <v>1</v>
      </c>
      <c r="H39" s="16" t="n">
        <v>4</v>
      </c>
      <c r="I39" s="16" t="n">
        <v>2</v>
      </c>
      <c r="J39" s="16" t="n">
        <v>2</v>
      </c>
      <c r="K39" s="16" t="n">
        <v>2</v>
      </c>
      <c r="L39" s="16" t="n">
        <v>4</v>
      </c>
      <c r="M39" s="16" t="n">
        <v>1</v>
      </c>
      <c r="N39" s="16" t="n">
        <v>2</v>
      </c>
      <c r="O39" s="16" t="n">
        <v>2</v>
      </c>
      <c r="P39" s="16" t="n">
        <v>2.5</v>
      </c>
      <c r="Q39" s="16" t="n">
        <v>1.5</v>
      </c>
    </row>
    <row r="40" customFormat="false" ht="15" hidden="false" customHeight="false" outlineLevel="0" collapsed="false">
      <c r="A40" s="2" t="s">
        <v>188</v>
      </c>
      <c r="B40" s="2" t="s">
        <v>189</v>
      </c>
      <c r="C40" s="16" t="n">
        <v>3</v>
      </c>
      <c r="D40" s="16" t="n">
        <v>3</v>
      </c>
      <c r="E40" s="16" t="n">
        <v>3</v>
      </c>
      <c r="F40" s="16" t="n">
        <v>2</v>
      </c>
      <c r="G40" s="16" t="n">
        <v>1</v>
      </c>
      <c r="H40" s="16" t="n">
        <v>4</v>
      </c>
      <c r="I40" s="16" t="n">
        <v>1</v>
      </c>
      <c r="J40" s="16" t="n">
        <v>2</v>
      </c>
      <c r="K40" s="16" t="n">
        <v>2</v>
      </c>
      <c r="L40" s="16" t="n">
        <v>2</v>
      </c>
      <c r="M40" s="16" t="n">
        <v>1</v>
      </c>
      <c r="N40" s="16" t="n">
        <v>2</v>
      </c>
      <c r="O40" s="16" t="n">
        <v>2</v>
      </c>
      <c r="P40" s="16" t="n">
        <v>4</v>
      </c>
      <c r="Q40" s="16" t="n">
        <v>2</v>
      </c>
    </row>
    <row r="41" customFormat="false" ht="15" hidden="false" customHeight="false" outlineLevel="0" collapsed="false">
      <c r="A41" s="2" t="s">
        <v>192</v>
      </c>
      <c r="B41" s="2" t="s">
        <v>193</v>
      </c>
      <c r="C41" s="16" t="n">
        <v>4</v>
      </c>
      <c r="D41" s="16" t="n">
        <v>2</v>
      </c>
      <c r="E41" s="16" t="n">
        <v>3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v>2</v>
      </c>
      <c r="L41" s="16" t="n">
        <v>4</v>
      </c>
      <c r="M41" s="16" t="n">
        <v>2</v>
      </c>
      <c r="N41" s="16" t="n">
        <v>1</v>
      </c>
      <c r="O41" s="16" t="n">
        <v>1</v>
      </c>
      <c r="P41" s="16" t="n">
        <v>4</v>
      </c>
      <c r="Q41" s="16" t="n">
        <v>1</v>
      </c>
    </row>
    <row r="42" customFormat="false" ht="15" hidden="false" customHeight="false" outlineLevel="0" collapsed="false">
      <c r="A42" s="2" t="s">
        <v>195</v>
      </c>
      <c r="B42" s="2" t="s">
        <v>196</v>
      </c>
      <c r="C42" s="16" t="n">
        <v>4</v>
      </c>
      <c r="D42" s="16" t="n">
        <v>3</v>
      </c>
      <c r="E42" s="16" t="n">
        <v>3</v>
      </c>
      <c r="F42" s="16" t="n">
        <v>0</v>
      </c>
      <c r="G42" s="16" t="n">
        <v>0</v>
      </c>
      <c r="H42" s="16" t="n">
        <v>0</v>
      </c>
      <c r="I42" s="16" t="n">
        <v>0</v>
      </c>
      <c r="J42" s="16" t="n">
        <v>2</v>
      </c>
      <c r="K42" s="16" t="n">
        <v>2</v>
      </c>
      <c r="L42" s="16" t="n">
        <v>3</v>
      </c>
      <c r="M42" s="16" t="n">
        <v>2</v>
      </c>
      <c r="N42" s="16" t="n">
        <v>2</v>
      </c>
      <c r="O42" s="16" t="n">
        <v>2</v>
      </c>
      <c r="P42" s="16" t="n">
        <v>4</v>
      </c>
      <c r="Q42" s="16" t="n">
        <v>1</v>
      </c>
    </row>
    <row r="43" customFormat="false" ht="15" hidden="false" customHeight="false" outlineLevel="0" collapsed="false">
      <c r="A43" s="2" t="s">
        <v>198</v>
      </c>
      <c r="B43" s="2" t="s">
        <v>199</v>
      </c>
      <c r="C43" s="16" t="n">
        <v>4</v>
      </c>
      <c r="D43" s="16" t="n">
        <v>3</v>
      </c>
      <c r="E43" s="16" t="n">
        <v>2.5</v>
      </c>
      <c r="F43" s="16" t="n">
        <v>2</v>
      </c>
      <c r="G43" s="16" t="n">
        <v>2</v>
      </c>
      <c r="H43" s="16" t="n">
        <v>4</v>
      </c>
      <c r="I43" s="16" t="n">
        <v>1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2</v>
      </c>
      <c r="O43" s="16" t="n">
        <v>0</v>
      </c>
      <c r="P43" s="16" t="n">
        <v>4</v>
      </c>
      <c r="Q43" s="16" t="n">
        <v>1.5</v>
      </c>
    </row>
    <row r="44" customFormat="false" ht="15" hidden="false" customHeight="false" outlineLevel="0" collapsed="false">
      <c r="A44" s="2" t="s">
        <v>201</v>
      </c>
      <c r="B44" s="2" t="s">
        <v>202</v>
      </c>
      <c r="C44" s="16" t="n">
        <v>2</v>
      </c>
      <c r="D44" s="16" t="n">
        <v>3</v>
      </c>
      <c r="E44" s="16" t="n">
        <v>2</v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1</v>
      </c>
      <c r="K44" s="16" t="n">
        <v>2</v>
      </c>
      <c r="L44" s="16" t="n">
        <v>3</v>
      </c>
      <c r="M44" s="16" t="n">
        <v>2</v>
      </c>
      <c r="N44" s="16" t="n">
        <v>2</v>
      </c>
      <c r="O44" s="16" t="n">
        <v>2</v>
      </c>
      <c r="P44" s="16" t="n">
        <v>3</v>
      </c>
      <c r="Q44" s="16" t="n">
        <v>1.5</v>
      </c>
    </row>
    <row r="45" customFormat="false" ht="15" hidden="false" customHeight="false" outlineLevel="0" collapsed="false">
      <c r="A45" s="2" t="s">
        <v>204</v>
      </c>
      <c r="B45" s="2" t="s">
        <v>205</v>
      </c>
      <c r="C45" s="16" t="n">
        <v>0</v>
      </c>
      <c r="D45" s="16" t="n">
        <v>0</v>
      </c>
      <c r="E45" s="16" t="n">
        <v>0</v>
      </c>
      <c r="F45" s="16" t="n">
        <v>2</v>
      </c>
      <c r="G45" s="16" t="n">
        <v>1</v>
      </c>
      <c r="H45" s="16" t="n">
        <v>2</v>
      </c>
      <c r="I45" s="16" t="n">
        <v>2</v>
      </c>
      <c r="J45" s="16" t="n">
        <v>2</v>
      </c>
      <c r="K45" s="16" t="n">
        <v>2</v>
      </c>
      <c r="L45" s="16" t="n">
        <v>2</v>
      </c>
      <c r="M45" s="16" t="n">
        <v>2</v>
      </c>
      <c r="N45" s="16" t="n">
        <v>1</v>
      </c>
      <c r="O45" s="16" t="n">
        <v>2</v>
      </c>
      <c r="P45" s="16" t="n">
        <v>3.5</v>
      </c>
      <c r="Q45" s="16" t="n">
        <v>1.5</v>
      </c>
    </row>
    <row r="46" customFormat="false" ht="15" hidden="false" customHeight="false" outlineLevel="0" collapsed="false">
      <c r="A46" s="2" t="s">
        <v>207</v>
      </c>
      <c r="B46" s="2" t="s">
        <v>208</v>
      </c>
      <c r="C46" s="16" t="n">
        <v>4</v>
      </c>
      <c r="D46" s="16" t="n">
        <v>2</v>
      </c>
      <c r="E46" s="16" t="n">
        <v>0</v>
      </c>
      <c r="F46" s="16" t="n">
        <v>1.5</v>
      </c>
      <c r="G46" s="16" t="n">
        <v>2</v>
      </c>
      <c r="H46" s="16" t="n">
        <v>0.5</v>
      </c>
      <c r="I46" s="16" t="n">
        <v>1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1</v>
      </c>
      <c r="O46" s="16" t="n">
        <v>0</v>
      </c>
      <c r="P46" s="16" t="n">
        <v>1</v>
      </c>
      <c r="Q46" s="16" t="n">
        <v>1.5</v>
      </c>
    </row>
    <row r="47" customFormat="false" ht="15" hidden="false" customHeight="false" outlineLevel="0" collapsed="false">
      <c r="A47" s="2" t="s">
        <v>210</v>
      </c>
      <c r="B47" s="2" t="s">
        <v>211</v>
      </c>
      <c r="C47" s="16" t="n">
        <v>2</v>
      </c>
      <c r="D47" s="16" t="n">
        <v>1.5</v>
      </c>
      <c r="E47" s="16" t="n">
        <v>3</v>
      </c>
      <c r="F47" s="16" t="n">
        <v>1</v>
      </c>
      <c r="G47" s="16" t="n">
        <v>1</v>
      </c>
      <c r="H47" s="16" t="n">
        <v>2</v>
      </c>
      <c r="I47" s="16" t="n">
        <v>1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0.5</v>
      </c>
      <c r="O47" s="16" t="n">
        <v>0</v>
      </c>
      <c r="P47" s="16" t="n">
        <v>2.5</v>
      </c>
      <c r="Q47" s="16" t="n">
        <v>2</v>
      </c>
    </row>
    <row r="48" customFormat="false" ht="15" hidden="false" customHeight="false" outlineLevel="0" collapsed="false">
      <c r="A48" s="2" t="s">
        <v>213</v>
      </c>
      <c r="B48" s="2" t="s">
        <v>214</v>
      </c>
      <c r="C48" s="16" t="n">
        <v>0</v>
      </c>
      <c r="D48" s="16" t="n">
        <v>0</v>
      </c>
      <c r="E48" s="16" t="n">
        <v>3</v>
      </c>
      <c r="F48" s="16" t="n">
        <v>0</v>
      </c>
      <c r="G48" s="16" t="n">
        <v>0</v>
      </c>
      <c r="H48" s="16" t="n">
        <v>0</v>
      </c>
      <c r="I48" s="16" t="n">
        <v>0</v>
      </c>
      <c r="J48" s="16" t="n">
        <v>2</v>
      </c>
      <c r="K48" s="16" t="n">
        <v>2</v>
      </c>
      <c r="L48" s="16" t="n">
        <v>0</v>
      </c>
      <c r="M48" s="16" t="n">
        <v>2</v>
      </c>
      <c r="N48" s="16" t="n">
        <v>0</v>
      </c>
      <c r="O48" s="16" t="n">
        <v>0</v>
      </c>
      <c r="P48" s="16" t="n">
        <v>3</v>
      </c>
      <c r="Q48" s="16" t="n">
        <v>1.5</v>
      </c>
    </row>
    <row r="49" customFormat="false" ht="15" hidden="false" customHeight="false" outlineLevel="0" collapsed="false">
      <c r="A49" s="2" t="s">
        <v>217</v>
      </c>
      <c r="B49" s="2" t="s">
        <v>218</v>
      </c>
      <c r="C49" s="16" t="n">
        <v>0</v>
      </c>
      <c r="D49" s="16" t="n">
        <v>0</v>
      </c>
      <c r="E49" s="16" t="n">
        <v>0</v>
      </c>
      <c r="F49" s="16" t="n">
        <v>2</v>
      </c>
      <c r="G49" s="16" t="n">
        <v>2</v>
      </c>
      <c r="H49" s="16" t="n">
        <v>4</v>
      </c>
      <c r="I49" s="16" t="n">
        <v>1.5</v>
      </c>
      <c r="J49" s="16" t="n">
        <v>2</v>
      </c>
      <c r="K49" s="16" t="n">
        <v>2</v>
      </c>
      <c r="L49" s="16" t="n">
        <v>2.5</v>
      </c>
      <c r="M49" s="16" t="n">
        <v>2</v>
      </c>
      <c r="N49" s="16" t="n">
        <v>0.5</v>
      </c>
      <c r="O49" s="16" t="n">
        <v>2</v>
      </c>
      <c r="P49" s="16" t="n">
        <v>3</v>
      </c>
      <c r="Q49" s="16" t="n">
        <v>2</v>
      </c>
    </row>
    <row r="50" customFormat="false" ht="15" hidden="false" customHeight="false" outlineLevel="0" collapsed="false">
      <c r="A50" s="2" t="s">
        <v>220</v>
      </c>
      <c r="B50" s="2" t="s">
        <v>221</v>
      </c>
      <c r="C50" s="16" t="n">
        <v>3</v>
      </c>
      <c r="D50" s="16" t="n">
        <v>3</v>
      </c>
      <c r="E50" s="16" t="n">
        <v>3</v>
      </c>
      <c r="F50" s="16" t="n">
        <v>2</v>
      </c>
      <c r="G50" s="16" t="n">
        <v>2</v>
      </c>
      <c r="H50" s="16" t="n">
        <v>2</v>
      </c>
      <c r="I50" s="16" t="n">
        <v>2</v>
      </c>
      <c r="J50" s="16" t="n">
        <v>2</v>
      </c>
      <c r="K50" s="16" t="n">
        <v>2</v>
      </c>
      <c r="L50" s="16" t="n">
        <v>2.5</v>
      </c>
      <c r="M50" s="16" t="n">
        <v>2</v>
      </c>
      <c r="N50" s="16" t="n">
        <v>0</v>
      </c>
      <c r="O50" s="16" t="n">
        <v>0</v>
      </c>
      <c r="P50" s="16" t="n">
        <v>0</v>
      </c>
      <c r="Q50" s="16" t="n">
        <v>0</v>
      </c>
    </row>
    <row r="51" customFormat="false" ht="15" hidden="false" customHeight="false" outlineLevel="0" collapsed="false">
      <c r="A51" s="2" t="s">
        <v>225</v>
      </c>
      <c r="B51" s="2" t="s">
        <v>226</v>
      </c>
      <c r="C51" s="16" t="n">
        <v>3</v>
      </c>
      <c r="D51" s="16" t="n">
        <v>2</v>
      </c>
      <c r="E51" s="16" t="n">
        <v>3</v>
      </c>
      <c r="F51" s="16" t="n">
        <v>1.5</v>
      </c>
      <c r="G51" s="16" t="n">
        <v>2</v>
      </c>
      <c r="H51" s="16" t="n">
        <v>4</v>
      </c>
      <c r="I51" s="16" t="n">
        <v>2</v>
      </c>
      <c r="J51" s="16" t="n">
        <v>2</v>
      </c>
      <c r="K51" s="16" t="n">
        <v>2</v>
      </c>
      <c r="L51" s="16" t="n">
        <v>4</v>
      </c>
      <c r="M51" s="16" t="n">
        <v>0</v>
      </c>
      <c r="N51" s="16" t="n">
        <v>1</v>
      </c>
      <c r="O51" s="16" t="n">
        <v>2</v>
      </c>
      <c r="P51" s="16" t="n">
        <v>4</v>
      </c>
      <c r="Q51" s="16" t="n">
        <v>2</v>
      </c>
    </row>
    <row r="52" customFormat="false" ht="15" hidden="false" customHeight="false" outlineLevel="0" collapsed="false">
      <c r="A52" s="2" t="s">
        <v>229</v>
      </c>
      <c r="B52" s="2" t="s">
        <v>230</v>
      </c>
      <c r="C52" s="16" t="n">
        <v>0</v>
      </c>
      <c r="D52" s="16" t="n">
        <v>0</v>
      </c>
      <c r="E52" s="16" t="n">
        <v>0</v>
      </c>
      <c r="F52" s="16" t="n">
        <v>0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1</v>
      </c>
      <c r="O52" s="16" t="n">
        <v>2</v>
      </c>
      <c r="P52" s="16" t="n">
        <v>3</v>
      </c>
      <c r="Q52" s="16" t="n">
        <v>1</v>
      </c>
    </row>
    <row r="53" customFormat="false" ht="15" hidden="false" customHeight="false" outlineLevel="0" collapsed="false">
      <c r="A53" s="2" t="s">
        <v>235</v>
      </c>
      <c r="B53" s="2" t="s">
        <v>236</v>
      </c>
      <c r="C53" s="16" t="n">
        <v>0</v>
      </c>
      <c r="D53" s="16" t="n">
        <v>0</v>
      </c>
      <c r="E53" s="16" t="n">
        <v>0</v>
      </c>
      <c r="F53" s="16" t="n">
        <v>2</v>
      </c>
      <c r="G53" s="16" t="n">
        <v>2</v>
      </c>
      <c r="H53" s="16" t="n">
        <v>4</v>
      </c>
      <c r="I53" s="16" t="n">
        <v>2</v>
      </c>
      <c r="J53" s="16" t="n">
        <v>2</v>
      </c>
      <c r="K53" s="16" t="n">
        <v>2</v>
      </c>
      <c r="L53" s="16" t="n">
        <v>4</v>
      </c>
      <c r="M53" s="16" t="n">
        <v>2</v>
      </c>
      <c r="N53" s="16" t="n">
        <v>2</v>
      </c>
      <c r="O53" s="16" t="n">
        <v>2</v>
      </c>
      <c r="P53" s="16" t="n">
        <v>4</v>
      </c>
      <c r="Q53" s="16" t="n">
        <v>2</v>
      </c>
    </row>
    <row r="54" customFormat="false" ht="15" hidden="false" customHeight="false" outlineLevel="0" collapsed="false">
      <c r="A54" s="2" t="s">
        <v>238</v>
      </c>
      <c r="B54" s="2" t="s">
        <v>239</v>
      </c>
      <c r="C54" s="16" t="n">
        <v>4</v>
      </c>
      <c r="D54" s="16" t="n">
        <v>3</v>
      </c>
      <c r="E54" s="16" t="n">
        <v>3</v>
      </c>
      <c r="F54" s="16" t="n">
        <v>2</v>
      </c>
      <c r="G54" s="16" t="n">
        <v>2</v>
      </c>
      <c r="H54" s="16" t="n">
        <v>4</v>
      </c>
      <c r="I54" s="16" t="n">
        <v>2</v>
      </c>
      <c r="J54" s="16" t="n">
        <v>0</v>
      </c>
      <c r="K54" s="16" t="n">
        <v>0</v>
      </c>
      <c r="L54" s="16" t="n">
        <v>0</v>
      </c>
      <c r="M54" s="16" t="n">
        <v>0</v>
      </c>
      <c r="N54" s="16" t="n">
        <v>2</v>
      </c>
      <c r="O54" s="16" t="n">
        <v>0</v>
      </c>
      <c r="P54" s="16" t="n">
        <v>4</v>
      </c>
      <c r="Q54" s="16" t="n">
        <v>2</v>
      </c>
    </row>
    <row r="55" customFormat="false" ht="15" hidden="false" customHeight="false" outlineLevel="0" collapsed="false">
      <c r="A55" s="2" t="s">
        <v>241</v>
      </c>
      <c r="B55" s="2" t="s">
        <v>242</v>
      </c>
      <c r="C55" s="16" t="n">
        <v>3</v>
      </c>
      <c r="D55" s="16" t="n">
        <v>3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1</v>
      </c>
      <c r="K55" s="16" t="n">
        <v>1.5</v>
      </c>
      <c r="L55" s="16" t="n">
        <v>3</v>
      </c>
      <c r="M55" s="16" t="n">
        <v>1</v>
      </c>
      <c r="N55" s="16" t="n">
        <v>2</v>
      </c>
      <c r="O55" s="16" t="n">
        <v>1</v>
      </c>
      <c r="P55" s="16" t="n">
        <v>2.5</v>
      </c>
      <c r="Q55" s="16" t="n">
        <v>2</v>
      </c>
    </row>
    <row r="56" customFormat="false" ht="15" hidden="false" customHeight="false" outlineLevel="0" collapsed="false">
      <c r="A56" s="2" t="s">
        <v>244</v>
      </c>
      <c r="B56" s="2" t="s">
        <v>245</v>
      </c>
      <c r="C56" s="16" t="n">
        <v>2</v>
      </c>
      <c r="D56" s="16" t="n">
        <v>2.5</v>
      </c>
      <c r="E56" s="16" t="n">
        <v>2</v>
      </c>
      <c r="F56" s="16" t="n">
        <v>2</v>
      </c>
      <c r="G56" s="16" t="n">
        <v>1</v>
      </c>
      <c r="H56" s="16" t="n">
        <v>4</v>
      </c>
      <c r="I56" s="16" t="n">
        <v>2</v>
      </c>
      <c r="J56" s="16" t="n">
        <v>0</v>
      </c>
      <c r="K56" s="16" t="n">
        <v>2</v>
      </c>
      <c r="L56" s="16" t="n">
        <v>4</v>
      </c>
      <c r="M56" s="16" t="n">
        <v>2</v>
      </c>
      <c r="N56" s="16" t="n">
        <v>0</v>
      </c>
      <c r="O56" s="16" t="n">
        <v>0</v>
      </c>
      <c r="P56" s="16" t="n">
        <v>0</v>
      </c>
      <c r="Q56" s="16" t="n">
        <v>0</v>
      </c>
    </row>
    <row r="57" customFormat="false" ht="15" hidden="false" customHeight="false" outlineLevel="0" collapsed="false">
      <c r="A57" s="2" t="s">
        <v>247</v>
      </c>
      <c r="B57" s="2" t="s">
        <v>248</v>
      </c>
      <c r="C57" s="16" t="n">
        <v>2</v>
      </c>
      <c r="D57" s="16" t="n">
        <v>2</v>
      </c>
      <c r="E57" s="16" t="n">
        <v>3</v>
      </c>
      <c r="F57" s="16" t="n">
        <v>2</v>
      </c>
      <c r="G57" s="16" t="n">
        <v>2</v>
      </c>
      <c r="H57" s="16" t="n">
        <v>2.5</v>
      </c>
      <c r="I57" s="16" t="n">
        <v>2</v>
      </c>
      <c r="J57" s="16" t="n">
        <v>0</v>
      </c>
      <c r="K57" s="16" t="n">
        <v>0</v>
      </c>
      <c r="L57" s="16" t="n">
        <v>0</v>
      </c>
      <c r="M57" s="16" t="n">
        <v>0</v>
      </c>
      <c r="N57" s="16" t="n">
        <v>0.5</v>
      </c>
      <c r="O57" s="16" t="n">
        <v>1</v>
      </c>
      <c r="P57" s="16" t="n">
        <v>4</v>
      </c>
      <c r="Q57" s="16" t="n">
        <v>1.5</v>
      </c>
    </row>
    <row r="58" customFormat="false" ht="15" hidden="false" customHeight="false" outlineLevel="0" collapsed="false">
      <c r="A58" s="2" t="s">
        <v>250</v>
      </c>
      <c r="B58" s="2" t="s">
        <v>251</v>
      </c>
      <c r="C58" s="16" t="n">
        <v>2</v>
      </c>
      <c r="D58" s="16" t="n">
        <v>3</v>
      </c>
      <c r="E58" s="16" t="n">
        <v>2</v>
      </c>
      <c r="F58" s="16" t="n">
        <v>1</v>
      </c>
      <c r="G58" s="16" t="n">
        <v>1</v>
      </c>
      <c r="H58" s="16" t="n">
        <v>0.5</v>
      </c>
      <c r="I58" s="16" t="n">
        <v>1.5</v>
      </c>
      <c r="J58" s="16" t="n">
        <v>0</v>
      </c>
      <c r="K58" s="16" t="n">
        <v>1</v>
      </c>
      <c r="L58" s="16" t="n">
        <v>2.5</v>
      </c>
      <c r="M58" s="16" t="n">
        <v>1</v>
      </c>
      <c r="N58" s="16" t="n">
        <v>0</v>
      </c>
      <c r="O58" s="16" t="n">
        <v>0</v>
      </c>
      <c r="P58" s="16" t="n">
        <v>0</v>
      </c>
      <c r="Q58" s="16" t="n">
        <v>0</v>
      </c>
    </row>
    <row r="59" customFormat="false" ht="15" hidden="false" customHeight="false" outlineLevel="0" collapsed="false">
      <c r="A59" s="2" t="s">
        <v>253</v>
      </c>
      <c r="B59" s="2" t="s">
        <v>254</v>
      </c>
      <c r="C59" s="16" t="n">
        <v>3.5</v>
      </c>
      <c r="D59" s="16" t="n">
        <v>2.5</v>
      </c>
      <c r="E59" s="16" t="n">
        <v>2.5</v>
      </c>
      <c r="F59" s="16" t="n">
        <v>2</v>
      </c>
      <c r="G59" s="16" t="n">
        <v>1.5</v>
      </c>
      <c r="H59" s="16" t="n">
        <v>3.5</v>
      </c>
      <c r="I59" s="16" t="n">
        <v>2</v>
      </c>
      <c r="J59" s="16" t="n">
        <v>0</v>
      </c>
      <c r="K59" s="16" t="n">
        <v>0</v>
      </c>
      <c r="L59" s="16" t="n">
        <v>0</v>
      </c>
      <c r="M59" s="16" t="n">
        <v>0</v>
      </c>
      <c r="N59" s="16" t="n">
        <v>2</v>
      </c>
      <c r="O59" s="16" t="n">
        <v>2</v>
      </c>
      <c r="P59" s="16" t="n">
        <v>4</v>
      </c>
      <c r="Q59" s="16" t="n">
        <v>2</v>
      </c>
    </row>
    <row r="60" customFormat="false" ht="15" hidden="false" customHeight="false" outlineLevel="0" collapsed="false">
      <c r="A60" s="2" t="s">
        <v>256</v>
      </c>
      <c r="B60" s="2" t="s">
        <v>257</v>
      </c>
      <c r="C60" s="16" t="n">
        <v>0</v>
      </c>
      <c r="D60" s="16" t="n">
        <v>0</v>
      </c>
      <c r="E60" s="16" t="n">
        <v>2.5</v>
      </c>
      <c r="F60" s="16" t="n">
        <v>2</v>
      </c>
      <c r="G60" s="16" t="n">
        <v>2</v>
      </c>
      <c r="H60" s="16" t="n">
        <v>4</v>
      </c>
      <c r="I60" s="16" t="n">
        <v>2</v>
      </c>
      <c r="J60" s="16" t="n">
        <v>2</v>
      </c>
      <c r="K60" s="16" t="n">
        <v>0</v>
      </c>
      <c r="L60" s="16" t="n">
        <v>0</v>
      </c>
      <c r="M60" s="16" t="n">
        <v>2</v>
      </c>
      <c r="N60" s="16" t="n">
        <v>0</v>
      </c>
      <c r="O60" s="16" t="n">
        <v>0</v>
      </c>
      <c r="P60" s="16" t="n">
        <v>0</v>
      </c>
      <c r="Q60" s="16" t="n">
        <v>0</v>
      </c>
    </row>
    <row r="61" customFormat="false" ht="15" hidden="false" customHeight="false" outlineLevel="0" collapsed="false">
      <c r="A61" s="2" t="s">
        <v>260</v>
      </c>
      <c r="B61" s="2" t="s">
        <v>261</v>
      </c>
      <c r="C61" s="16" t="n">
        <v>3</v>
      </c>
      <c r="D61" s="16" t="n">
        <v>3</v>
      </c>
      <c r="E61" s="16" t="n">
        <v>2</v>
      </c>
      <c r="F61" s="16" t="n">
        <v>1.5</v>
      </c>
      <c r="G61" s="16" t="n">
        <v>2</v>
      </c>
      <c r="H61" s="16" t="n">
        <v>4</v>
      </c>
      <c r="I61" s="16" t="n">
        <v>1</v>
      </c>
      <c r="J61" s="16" t="n">
        <v>2</v>
      </c>
      <c r="K61" s="16" t="n">
        <v>2</v>
      </c>
      <c r="L61" s="16" t="n">
        <v>3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</row>
    <row r="62" customFormat="false" ht="15" hidden="false" customHeight="false" outlineLevel="0" collapsed="false">
      <c r="A62" s="2" t="s">
        <v>263</v>
      </c>
      <c r="B62" s="2" t="s">
        <v>264</v>
      </c>
      <c r="C62" s="16" t="n">
        <v>4</v>
      </c>
      <c r="D62" s="16" t="n">
        <v>2</v>
      </c>
      <c r="E62" s="16" t="n">
        <v>2.5</v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2</v>
      </c>
      <c r="K62" s="16" t="n">
        <v>2</v>
      </c>
      <c r="L62" s="16" t="n">
        <v>4</v>
      </c>
      <c r="M62" s="16" t="n">
        <v>2</v>
      </c>
      <c r="N62" s="16" t="n">
        <v>1</v>
      </c>
      <c r="O62" s="16" t="n">
        <v>2</v>
      </c>
      <c r="P62" s="16" t="n">
        <v>3</v>
      </c>
      <c r="Q62" s="16" t="n">
        <v>2</v>
      </c>
    </row>
    <row r="63" customFormat="false" ht="15" hidden="false" customHeight="false" outlineLevel="0" collapsed="false">
      <c r="A63" s="2" t="s">
        <v>266</v>
      </c>
      <c r="B63" s="2" t="s">
        <v>267</v>
      </c>
      <c r="C63" s="16" t="n">
        <v>4</v>
      </c>
      <c r="D63" s="16" t="n">
        <v>3</v>
      </c>
      <c r="E63" s="16" t="n">
        <v>3</v>
      </c>
      <c r="F63" s="16" t="n">
        <v>2</v>
      </c>
      <c r="G63" s="16" t="n">
        <v>2</v>
      </c>
      <c r="H63" s="16" t="n">
        <v>0.5</v>
      </c>
      <c r="I63" s="16" t="n">
        <v>2</v>
      </c>
      <c r="J63" s="16" t="n">
        <v>2</v>
      </c>
      <c r="K63" s="16" t="n">
        <v>1.5</v>
      </c>
      <c r="L63" s="16" t="n">
        <v>4</v>
      </c>
      <c r="M63" s="16" t="n">
        <v>2</v>
      </c>
      <c r="N63" s="16" t="n">
        <v>0.5</v>
      </c>
      <c r="O63" s="16" t="n">
        <v>2</v>
      </c>
      <c r="P63" s="16" t="n">
        <v>3</v>
      </c>
      <c r="Q63" s="16" t="n">
        <v>2</v>
      </c>
    </row>
    <row r="64" customFormat="false" ht="15" hidden="false" customHeight="false" outlineLevel="0" collapsed="false">
      <c r="A64" s="2" t="s">
        <v>270</v>
      </c>
      <c r="B64" s="2" t="s">
        <v>271</v>
      </c>
      <c r="C64" s="16" t="n">
        <v>3</v>
      </c>
      <c r="D64" s="16" t="n">
        <v>3</v>
      </c>
      <c r="E64" s="16" t="n">
        <v>2</v>
      </c>
      <c r="F64" s="16" t="n">
        <v>2</v>
      </c>
      <c r="G64" s="16" t="n">
        <v>2</v>
      </c>
      <c r="H64" s="16" t="n">
        <v>2.5</v>
      </c>
      <c r="I64" s="16" t="n">
        <v>2</v>
      </c>
      <c r="J64" s="16" t="n">
        <v>1</v>
      </c>
      <c r="K64" s="16" t="n">
        <v>2</v>
      </c>
      <c r="L64" s="16" t="n">
        <v>3</v>
      </c>
      <c r="M64" s="16" t="n">
        <v>2</v>
      </c>
      <c r="N64" s="16" t="n">
        <v>2</v>
      </c>
      <c r="O64" s="16" t="n">
        <v>2</v>
      </c>
      <c r="P64" s="16" t="n">
        <v>4</v>
      </c>
      <c r="Q64" s="16" t="n">
        <v>1.5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8"/>
    <col collapsed="false" customWidth="true" hidden="false" outlineLevel="0" max="8" min="8" style="0" width="80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16"/>
  </cols>
  <sheetData>
    <row r="1" customFormat="false" ht="16.1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2" t="s">
        <v>295</v>
      </c>
    </row>
    <row r="3" customFormat="false" ht="35.05" hidden="false" customHeight="false" outlineLevel="0" collapsed="false">
      <c r="A3" s="3" t="s">
        <v>3</v>
      </c>
      <c r="B3" s="3" t="s">
        <v>4</v>
      </c>
      <c r="C3" s="3" t="s">
        <v>296</v>
      </c>
      <c r="D3" s="3" t="s">
        <v>297</v>
      </c>
      <c r="E3" s="3" t="s">
        <v>298</v>
      </c>
      <c r="F3" s="3" t="s">
        <v>299</v>
      </c>
      <c r="G3" s="3" t="s">
        <v>300</v>
      </c>
      <c r="H3" s="3" t="s">
        <v>301</v>
      </c>
      <c r="I3" s="3" t="s">
        <v>302</v>
      </c>
      <c r="J3" s="3" t="s">
        <v>23</v>
      </c>
      <c r="K3" s="3" t="s">
        <v>303</v>
      </c>
      <c r="L3" s="3" t="s">
        <v>304</v>
      </c>
    </row>
    <row r="4" customFormat="false" ht="15" hidden="false" customHeight="false" outlineLevel="0" collapsed="false">
      <c r="A4" s="7" t="s">
        <v>24</v>
      </c>
      <c r="B4" s="7" t="s">
        <v>25</v>
      </c>
      <c r="C4" s="7" t="s">
        <v>232</v>
      </c>
      <c r="D4" s="7" t="s">
        <v>305</v>
      </c>
      <c r="E4" s="7" t="s">
        <v>306</v>
      </c>
      <c r="F4" s="7" t="s">
        <v>307</v>
      </c>
      <c r="G4" s="7" t="s">
        <v>308</v>
      </c>
      <c r="H4" s="7" t="s">
        <v>309</v>
      </c>
      <c r="I4" s="8" t="n">
        <v>0</v>
      </c>
      <c r="J4" s="8" t="n">
        <v>10</v>
      </c>
      <c r="K4" s="8" t="n">
        <f aca="false">J4-I4</f>
        <v>10</v>
      </c>
      <c r="L4" s="7" t="s">
        <v>306</v>
      </c>
    </row>
    <row r="5" customFormat="false" ht="23.85" hidden="false" customHeight="false" outlineLevel="0" collapsed="false">
      <c r="A5" s="7" t="s">
        <v>32</v>
      </c>
      <c r="B5" s="7" t="s">
        <v>33</v>
      </c>
      <c r="C5" s="7" t="s">
        <v>140</v>
      </c>
      <c r="D5" s="7" t="s">
        <v>310</v>
      </c>
      <c r="E5" s="7" t="s">
        <v>311</v>
      </c>
      <c r="F5" s="7" t="s">
        <v>312</v>
      </c>
      <c r="G5" s="7" t="s">
        <v>313</v>
      </c>
      <c r="H5" s="7" t="s">
        <v>314</v>
      </c>
      <c r="I5" s="8" t="n">
        <f aca="false">Part_Marks!H6</f>
        <v>4</v>
      </c>
      <c r="J5" s="8" t="n">
        <v>4</v>
      </c>
      <c r="K5" s="8" t="n">
        <f aca="false">J5-I5</f>
        <v>0</v>
      </c>
      <c r="L5" s="7" t="s">
        <v>315</v>
      </c>
    </row>
    <row r="6" customFormat="false" ht="15" hidden="false" customHeight="false" outlineLevel="0" collapsed="false">
      <c r="A6" s="7" t="s">
        <v>32</v>
      </c>
      <c r="B6" s="7" t="s">
        <v>33</v>
      </c>
      <c r="C6" s="7" t="s">
        <v>49</v>
      </c>
      <c r="D6" s="7" t="s">
        <v>316</v>
      </c>
      <c r="E6" s="7" t="s">
        <v>317</v>
      </c>
      <c r="F6" s="7" t="s">
        <v>318</v>
      </c>
      <c r="G6" s="7" t="s">
        <v>319</v>
      </c>
      <c r="H6" s="7" t="s">
        <v>320</v>
      </c>
      <c r="I6" s="8" t="n">
        <f aca="false">Part_Marks!K6</f>
        <v>1.5</v>
      </c>
      <c r="J6" s="8" t="n">
        <v>2</v>
      </c>
      <c r="K6" s="8" t="n">
        <f aca="false">J6-I6</f>
        <v>0.5</v>
      </c>
      <c r="L6" s="7" t="s">
        <v>315</v>
      </c>
    </row>
    <row r="7" customFormat="false" ht="23.85" hidden="false" customHeight="false" outlineLevel="0" collapsed="false">
      <c r="A7" s="7" t="s">
        <v>32</v>
      </c>
      <c r="B7" s="7" t="s">
        <v>33</v>
      </c>
      <c r="C7" s="7" t="s">
        <v>232</v>
      </c>
      <c r="D7" s="7" t="s">
        <v>321</v>
      </c>
      <c r="E7" s="7" t="s">
        <v>322</v>
      </c>
      <c r="F7" s="7" t="s">
        <v>318</v>
      </c>
      <c r="G7" s="7" t="s">
        <v>323</v>
      </c>
      <c r="H7" s="7" t="s">
        <v>324</v>
      </c>
      <c r="I7" s="8" t="n">
        <f aca="false">Part_Marks!Q6</f>
        <v>1.5</v>
      </c>
      <c r="J7" s="8" t="n">
        <v>2</v>
      </c>
      <c r="K7" s="8" t="n">
        <f aca="false">J7-I7</f>
        <v>0.5</v>
      </c>
      <c r="L7" s="7" t="s">
        <v>315</v>
      </c>
    </row>
    <row r="8" customFormat="false" ht="15" hidden="false" customHeight="false" outlineLevel="0" collapsed="false">
      <c r="A8" s="7" t="s">
        <v>32</v>
      </c>
      <c r="B8" s="7" t="s">
        <v>33</v>
      </c>
      <c r="C8" s="7" t="s">
        <v>185</v>
      </c>
      <c r="D8" s="7" t="s">
        <v>305</v>
      </c>
      <c r="E8" s="7" t="s">
        <v>306</v>
      </c>
      <c r="F8" s="7" t="s">
        <v>307</v>
      </c>
      <c r="G8" s="7" t="s">
        <v>308</v>
      </c>
      <c r="H8" s="7" t="s">
        <v>309</v>
      </c>
      <c r="I8" s="8" t="n">
        <v>0</v>
      </c>
      <c r="J8" s="8" t="n">
        <v>10</v>
      </c>
      <c r="K8" s="8" t="n">
        <f aca="false">J8-I8</f>
        <v>10</v>
      </c>
      <c r="L8" s="7" t="s">
        <v>306</v>
      </c>
    </row>
    <row r="9" customFormat="false" ht="23.85" hidden="false" customHeight="false" outlineLevel="0" collapsed="false">
      <c r="A9" s="7" t="s">
        <v>39</v>
      </c>
      <c r="B9" s="7" t="s">
        <v>40</v>
      </c>
      <c r="C9" s="7" t="s">
        <v>185</v>
      </c>
      <c r="D9" s="7" t="s">
        <v>325</v>
      </c>
      <c r="E9" s="7" t="s">
        <v>326</v>
      </c>
      <c r="F9" s="7" t="s">
        <v>318</v>
      </c>
      <c r="G9" s="7" t="s">
        <v>327</v>
      </c>
      <c r="H9" s="7" t="s">
        <v>328</v>
      </c>
      <c r="I9" s="8" t="n">
        <f aca="false">Part_Marks!C7</f>
        <v>2</v>
      </c>
      <c r="J9" s="8" t="n">
        <v>4</v>
      </c>
      <c r="K9" s="8" t="n">
        <f aca="false">J9-I9</f>
        <v>2</v>
      </c>
      <c r="L9" s="7" t="s">
        <v>315</v>
      </c>
    </row>
    <row r="10" customFormat="false" ht="15" hidden="false" customHeight="false" outlineLevel="0" collapsed="false">
      <c r="A10" s="7" t="s">
        <v>39</v>
      </c>
      <c r="B10" s="7" t="s">
        <v>40</v>
      </c>
      <c r="C10" s="7" t="s">
        <v>185</v>
      </c>
      <c r="D10" s="7" t="s">
        <v>316</v>
      </c>
      <c r="E10" s="7" t="s">
        <v>329</v>
      </c>
      <c r="F10" s="7" t="s">
        <v>318</v>
      </c>
      <c r="G10" s="7" t="s">
        <v>330</v>
      </c>
      <c r="H10" s="7" t="s">
        <v>331</v>
      </c>
      <c r="I10" s="8" t="n">
        <f aca="false">Part_Marks!D7</f>
        <v>2.5</v>
      </c>
      <c r="J10" s="8" t="n">
        <v>3</v>
      </c>
      <c r="K10" s="8" t="n">
        <f aca="false">J10-I10</f>
        <v>0.5</v>
      </c>
      <c r="L10" s="7" t="s">
        <v>315</v>
      </c>
    </row>
    <row r="11" customFormat="false" ht="23.85" hidden="false" customHeight="false" outlineLevel="0" collapsed="false">
      <c r="A11" s="7" t="s">
        <v>39</v>
      </c>
      <c r="B11" s="7" t="s">
        <v>40</v>
      </c>
      <c r="C11" s="7" t="s">
        <v>185</v>
      </c>
      <c r="D11" s="7" t="s">
        <v>310</v>
      </c>
      <c r="E11" s="7" t="s">
        <v>329</v>
      </c>
      <c r="F11" s="7" t="s">
        <v>318</v>
      </c>
      <c r="G11" s="7" t="s">
        <v>330</v>
      </c>
      <c r="H11" s="7" t="s">
        <v>332</v>
      </c>
      <c r="I11" s="8" t="n">
        <f aca="false">Part_Marks!E7</f>
        <v>2</v>
      </c>
      <c r="J11" s="8" t="n">
        <v>3</v>
      </c>
      <c r="K11" s="8" t="n">
        <f aca="false">J11-I11</f>
        <v>1</v>
      </c>
      <c r="L11" s="7" t="s">
        <v>315</v>
      </c>
    </row>
    <row r="12" customFormat="false" ht="15" hidden="false" customHeight="false" outlineLevel="0" collapsed="false">
      <c r="A12" s="7" t="s">
        <v>39</v>
      </c>
      <c r="B12" s="7" t="s">
        <v>40</v>
      </c>
      <c r="C12" s="7" t="s">
        <v>140</v>
      </c>
      <c r="D12" s="7" t="s">
        <v>325</v>
      </c>
      <c r="E12" s="7" t="s">
        <v>329</v>
      </c>
      <c r="F12" s="7" t="s">
        <v>318</v>
      </c>
      <c r="G12" s="7" t="s">
        <v>333</v>
      </c>
      <c r="H12" s="7" t="s">
        <v>334</v>
      </c>
      <c r="I12" s="8" t="n">
        <f aca="false">Part_Marks!F7</f>
        <v>1.5</v>
      </c>
      <c r="J12" s="8" t="n">
        <v>2</v>
      </c>
      <c r="K12" s="8" t="n">
        <f aca="false">J12-I12</f>
        <v>0.5</v>
      </c>
      <c r="L12" s="7" t="s">
        <v>315</v>
      </c>
    </row>
    <row r="13" customFormat="false" ht="23.85" hidden="false" customHeight="false" outlineLevel="0" collapsed="false">
      <c r="A13" s="7" t="s">
        <v>39</v>
      </c>
      <c r="B13" s="7" t="s">
        <v>40</v>
      </c>
      <c r="C13" s="7" t="s">
        <v>140</v>
      </c>
      <c r="D13" s="7" t="s">
        <v>316</v>
      </c>
      <c r="E13" s="7" t="s">
        <v>326</v>
      </c>
      <c r="F13" s="7" t="s">
        <v>318</v>
      </c>
      <c r="G13" s="7" t="s">
        <v>330</v>
      </c>
      <c r="H13" s="7" t="s">
        <v>335</v>
      </c>
      <c r="I13" s="8" t="n">
        <f aca="false">Part_Marks!G7</f>
        <v>1</v>
      </c>
      <c r="J13" s="8" t="n">
        <v>2</v>
      </c>
      <c r="K13" s="8" t="n">
        <f aca="false">J13-I13</f>
        <v>1</v>
      </c>
      <c r="L13" s="7" t="s">
        <v>315</v>
      </c>
    </row>
    <row r="14" customFormat="false" ht="23.85" hidden="false" customHeight="false" outlineLevel="0" collapsed="false">
      <c r="A14" s="7" t="s">
        <v>39</v>
      </c>
      <c r="B14" s="7" t="s">
        <v>40</v>
      </c>
      <c r="C14" s="7" t="s">
        <v>140</v>
      </c>
      <c r="D14" s="7" t="s">
        <v>310</v>
      </c>
      <c r="E14" s="7" t="s">
        <v>329</v>
      </c>
      <c r="F14" s="7" t="s">
        <v>318</v>
      </c>
      <c r="G14" s="7" t="s">
        <v>327</v>
      </c>
      <c r="H14" s="7" t="s">
        <v>336</v>
      </c>
      <c r="I14" s="8" t="n">
        <f aca="false">Part_Marks!H7</f>
        <v>2</v>
      </c>
      <c r="J14" s="8" t="n">
        <v>4</v>
      </c>
      <c r="K14" s="8" t="n">
        <f aca="false">J14-I14</f>
        <v>2</v>
      </c>
      <c r="L14" s="7" t="s">
        <v>315</v>
      </c>
    </row>
    <row r="15" customFormat="false" ht="15" hidden="false" customHeight="false" outlineLevel="0" collapsed="false">
      <c r="A15" s="7" t="s">
        <v>39</v>
      </c>
      <c r="B15" s="7" t="s">
        <v>40</v>
      </c>
      <c r="C15" s="7" t="s">
        <v>140</v>
      </c>
      <c r="D15" s="7" t="s">
        <v>321</v>
      </c>
      <c r="E15" s="7" t="s">
        <v>326</v>
      </c>
      <c r="F15" s="7" t="s">
        <v>318</v>
      </c>
      <c r="G15" s="7" t="s">
        <v>337</v>
      </c>
      <c r="H15" s="7" t="s">
        <v>338</v>
      </c>
      <c r="I15" s="8" t="n">
        <f aca="false">Part_Marks!I7</f>
        <v>1</v>
      </c>
      <c r="J15" s="8" t="n">
        <v>2</v>
      </c>
      <c r="K15" s="8" t="n">
        <f aca="false">J15-I15</f>
        <v>1</v>
      </c>
      <c r="L15" s="7" t="s">
        <v>315</v>
      </c>
    </row>
    <row r="16" customFormat="false" ht="23.85" hidden="false" customHeight="false" outlineLevel="0" collapsed="false">
      <c r="A16" s="7" t="s">
        <v>39</v>
      </c>
      <c r="B16" s="7" t="s">
        <v>40</v>
      </c>
      <c r="C16" s="7" t="s">
        <v>232</v>
      </c>
      <c r="D16" s="7" t="s">
        <v>316</v>
      </c>
      <c r="E16" s="7" t="s">
        <v>329</v>
      </c>
      <c r="F16" s="7" t="s">
        <v>318</v>
      </c>
      <c r="G16" s="7" t="s">
        <v>330</v>
      </c>
      <c r="H16" s="7" t="s">
        <v>339</v>
      </c>
      <c r="I16" s="8" t="n">
        <f aca="false">Part_Marks!O7</f>
        <v>1</v>
      </c>
      <c r="J16" s="8" t="n">
        <v>2</v>
      </c>
      <c r="K16" s="8" t="n">
        <f aca="false">J16-I16</f>
        <v>1</v>
      </c>
      <c r="L16" s="7" t="s">
        <v>315</v>
      </c>
    </row>
    <row r="17" customFormat="false" ht="23.85" hidden="false" customHeight="false" outlineLevel="0" collapsed="false">
      <c r="A17" s="7" t="s">
        <v>39</v>
      </c>
      <c r="B17" s="7" t="s">
        <v>40</v>
      </c>
      <c r="C17" s="7" t="s">
        <v>232</v>
      </c>
      <c r="D17" s="7" t="s">
        <v>310</v>
      </c>
      <c r="E17" s="7" t="s">
        <v>322</v>
      </c>
      <c r="F17" s="7" t="s">
        <v>318</v>
      </c>
      <c r="G17" s="7" t="s">
        <v>330</v>
      </c>
      <c r="H17" s="7" t="s">
        <v>340</v>
      </c>
      <c r="I17" s="8" t="n">
        <f aca="false">Part_Marks!P7</f>
        <v>3</v>
      </c>
      <c r="J17" s="8" t="n">
        <v>4</v>
      </c>
      <c r="K17" s="8" t="n">
        <f aca="false">J17-I17</f>
        <v>1</v>
      </c>
      <c r="L17" s="7" t="s">
        <v>315</v>
      </c>
    </row>
    <row r="18" customFormat="false" ht="23.85" hidden="false" customHeight="false" outlineLevel="0" collapsed="false">
      <c r="A18" s="7" t="s">
        <v>39</v>
      </c>
      <c r="B18" s="7" t="s">
        <v>40</v>
      </c>
      <c r="C18" s="7" t="s">
        <v>232</v>
      </c>
      <c r="D18" s="7" t="s">
        <v>321</v>
      </c>
      <c r="E18" s="7" t="s">
        <v>326</v>
      </c>
      <c r="F18" s="7" t="s">
        <v>318</v>
      </c>
      <c r="G18" s="7" t="s">
        <v>337</v>
      </c>
      <c r="H18" s="7" t="s">
        <v>341</v>
      </c>
      <c r="I18" s="8" t="n">
        <f aca="false">Part_Marks!Q7</f>
        <v>1</v>
      </c>
      <c r="J18" s="8" t="n">
        <v>2</v>
      </c>
      <c r="K18" s="8" t="n">
        <f aca="false">J18-I18</f>
        <v>1</v>
      </c>
      <c r="L18" s="7" t="s">
        <v>315</v>
      </c>
    </row>
    <row r="19" customFormat="false" ht="15" hidden="false" customHeight="false" outlineLevel="0" collapsed="false">
      <c r="A19" s="7" t="s">
        <v>39</v>
      </c>
      <c r="B19" s="7" t="s">
        <v>40</v>
      </c>
      <c r="C19" s="7" t="s">
        <v>49</v>
      </c>
      <c r="D19" s="7" t="s">
        <v>305</v>
      </c>
      <c r="E19" s="7" t="s">
        <v>306</v>
      </c>
      <c r="F19" s="7" t="s">
        <v>307</v>
      </c>
      <c r="G19" s="7" t="s">
        <v>308</v>
      </c>
      <c r="H19" s="7" t="s">
        <v>309</v>
      </c>
      <c r="I19" s="8" t="n">
        <v>0</v>
      </c>
      <c r="J19" s="8" t="n">
        <v>10</v>
      </c>
      <c r="K19" s="8" t="n">
        <f aca="false">J19-I19</f>
        <v>10</v>
      </c>
      <c r="L19" s="7" t="s">
        <v>306</v>
      </c>
    </row>
    <row r="20" customFormat="false" ht="15" hidden="false" customHeight="false" outlineLevel="0" collapsed="false">
      <c r="A20" s="7" t="s">
        <v>45</v>
      </c>
      <c r="B20" s="7" t="s">
        <v>46</v>
      </c>
      <c r="C20" s="7" t="s">
        <v>185</v>
      </c>
      <c r="D20" s="7" t="s">
        <v>325</v>
      </c>
      <c r="E20" s="7" t="s">
        <v>329</v>
      </c>
      <c r="F20" s="7" t="s">
        <v>318</v>
      </c>
      <c r="G20" s="7" t="s">
        <v>337</v>
      </c>
      <c r="H20" s="7" t="s">
        <v>342</v>
      </c>
      <c r="I20" s="8" t="n">
        <f aca="false">Part_Marks!C8</f>
        <v>2</v>
      </c>
      <c r="J20" s="8" t="n">
        <v>4</v>
      </c>
      <c r="K20" s="8" t="n">
        <f aca="false">J20-I20</f>
        <v>2</v>
      </c>
      <c r="L20" s="7" t="s">
        <v>315</v>
      </c>
    </row>
    <row r="21" customFormat="false" ht="15" hidden="false" customHeight="false" outlineLevel="0" collapsed="false">
      <c r="A21" s="7" t="s">
        <v>45</v>
      </c>
      <c r="B21" s="7" t="s">
        <v>46</v>
      </c>
      <c r="C21" s="7" t="s">
        <v>185</v>
      </c>
      <c r="D21" s="7" t="s">
        <v>316</v>
      </c>
      <c r="E21" s="7" t="s">
        <v>326</v>
      </c>
      <c r="F21" s="7" t="s">
        <v>318</v>
      </c>
      <c r="G21" s="7" t="s">
        <v>319</v>
      </c>
      <c r="H21" s="7" t="s">
        <v>343</v>
      </c>
      <c r="I21" s="8" t="n">
        <f aca="false">Part_Marks!D8</f>
        <v>1.5</v>
      </c>
      <c r="J21" s="8" t="n">
        <v>3</v>
      </c>
      <c r="K21" s="8" t="n">
        <f aca="false">J21-I21</f>
        <v>1.5</v>
      </c>
      <c r="L21" s="7" t="s">
        <v>315</v>
      </c>
    </row>
    <row r="22" customFormat="false" ht="23.85" hidden="false" customHeight="false" outlineLevel="0" collapsed="false">
      <c r="A22" s="7" t="s">
        <v>45</v>
      </c>
      <c r="B22" s="7" t="s">
        <v>46</v>
      </c>
      <c r="C22" s="7" t="s">
        <v>185</v>
      </c>
      <c r="D22" s="7" t="s">
        <v>310</v>
      </c>
      <c r="E22" s="7" t="s">
        <v>326</v>
      </c>
      <c r="F22" s="7" t="s">
        <v>318</v>
      </c>
      <c r="G22" s="7" t="s">
        <v>344</v>
      </c>
      <c r="H22" s="7" t="s">
        <v>345</v>
      </c>
      <c r="I22" s="8" t="n">
        <f aca="false">Part_Marks!E8</f>
        <v>0</v>
      </c>
      <c r="J22" s="8" t="n">
        <v>3</v>
      </c>
      <c r="K22" s="8" t="n">
        <f aca="false">J22-I22</f>
        <v>3</v>
      </c>
      <c r="L22" s="7" t="s">
        <v>315</v>
      </c>
    </row>
    <row r="23" customFormat="false" ht="15" hidden="false" customHeight="false" outlineLevel="0" collapsed="false">
      <c r="A23" s="7" t="s">
        <v>45</v>
      </c>
      <c r="B23" s="7" t="s">
        <v>46</v>
      </c>
      <c r="C23" s="7" t="s">
        <v>140</v>
      </c>
      <c r="D23" s="7" t="s">
        <v>316</v>
      </c>
      <c r="E23" s="7" t="s">
        <v>322</v>
      </c>
      <c r="F23" s="7" t="s">
        <v>318</v>
      </c>
      <c r="G23" s="7" t="s">
        <v>319</v>
      </c>
      <c r="H23" s="7" t="s">
        <v>346</v>
      </c>
      <c r="I23" s="8" t="n">
        <f aca="false">Part_Marks!G8</f>
        <v>1.5</v>
      </c>
      <c r="J23" s="8" t="n">
        <v>2</v>
      </c>
      <c r="K23" s="8" t="n">
        <f aca="false">J23-I23</f>
        <v>0.5</v>
      </c>
      <c r="L23" s="7" t="s">
        <v>315</v>
      </c>
    </row>
    <row r="24" customFormat="false" ht="23.85" hidden="false" customHeight="false" outlineLevel="0" collapsed="false">
      <c r="A24" s="7" t="s">
        <v>45</v>
      </c>
      <c r="B24" s="7" t="s">
        <v>46</v>
      </c>
      <c r="C24" s="7" t="s">
        <v>140</v>
      </c>
      <c r="D24" s="7" t="s">
        <v>321</v>
      </c>
      <c r="E24" s="7" t="s">
        <v>329</v>
      </c>
      <c r="F24" s="7" t="s">
        <v>318</v>
      </c>
      <c r="G24" s="7" t="s">
        <v>347</v>
      </c>
      <c r="H24" s="7" t="s">
        <v>348</v>
      </c>
      <c r="I24" s="8" t="n">
        <f aca="false">Part_Marks!I8</f>
        <v>1.5</v>
      </c>
      <c r="J24" s="8" t="n">
        <v>2</v>
      </c>
      <c r="K24" s="8" t="n">
        <f aca="false">J24-I24</f>
        <v>0.5</v>
      </c>
      <c r="L24" s="7" t="s">
        <v>315</v>
      </c>
    </row>
    <row r="25" customFormat="false" ht="15" hidden="false" customHeight="false" outlineLevel="0" collapsed="false">
      <c r="A25" s="7" t="s">
        <v>45</v>
      </c>
      <c r="B25" s="7" t="s">
        <v>46</v>
      </c>
      <c r="C25" s="7" t="s">
        <v>49</v>
      </c>
      <c r="D25" s="7" t="s">
        <v>325</v>
      </c>
      <c r="E25" s="7" t="s">
        <v>326</v>
      </c>
      <c r="F25" s="7" t="s">
        <v>318</v>
      </c>
      <c r="G25" s="7" t="s">
        <v>337</v>
      </c>
      <c r="H25" s="7" t="s">
        <v>349</v>
      </c>
      <c r="I25" s="8" t="n">
        <f aca="false">Part_Marks!J8</f>
        <v>1</v>
      </c>
      <c r="J25" s="8" t="n">
        <v>2</v>
      </c>
      <c r="K25" s="8" t="n">
        <f aca="false">J25-I25</f>
        <v>1</v>
      </c>
      <c r="L25" s="7" t="s">
        <v>350</v>
      </c>
    </row>
    <row r="26" customFormat="false" ht="15" hidden="false" customHeight="false" outlineLevel="0" collapsed="false">
      <c r="A26" s="7" t="s">
        <v>45</v>
      </c>
      <c r="B26" s="7" t="s">
        <v>46</v>
      </c>
      <c r="C26" s="7" t="s">
        <v>49</v>
      </c>
      <c r="D26" s="7" t="s">
        <v>316</v>
      </c>
      <c r="E26" s="7" t="s">
        <v>329</v>
      </c>
      <c r="F26" s="7" t="s">
        <v>318</v>
      </c>
      <c r="G26" s="7" t="s">
        <v>330</v>
      </c>
      <c r="H26" s="7" t="s">
        <v>351</v>
      </c>
      <c r="I26" s="8" t="n">
        <f aca="false">Part_Marks!K8</f>
        <v>1.5</v>
      </c>
      <c r="J26" s="8" t="n">
        <v>2</v>
      </c>
      <c r="K26" s="8" t="n">
        <f aca="false">J26-I26</f>
        <v>0.5</v>
      </c>
      <c r="L26" s="7" t="s">
        <v>350</v>
      </c>
    </row>
    <row r="27" customFormat="false" ht="15" hidden="false" customHeight="false" outlineLevel="0" collapsed="false">
      <c r="A27" s="7" t="s">
        <v>45</v>
      </c>
      <c r="B27" s="7" t="s">
        <v>46</v>
      </c>
      <c r="C27" s="7" t="s">
        <v>49</v>
      </c>
      <c r="D27" s="7" t="s">
        <v>310</v>
      </c>
      <c r="E27" s="7" t="s">
        <v>317</v>
      </c>
      <c r="F27" s="7" t="s">
        <v>318</v>
      </c>
      <c r="G27" s="7" t="s">
        <v>330</v>
      </c>
      <c r="H27" s="7" t="s">
        <v>352</v>
      </c>
      <c r="I27" s="8" t="n">
        <f aca="false">Part_Marks!L8</f>
        <v>3</v>
      </c>
      <c r="J27" s="8" t="n">
        <v>4</v>
      </c>
      <c r="K27" s="8" t="n">
        <f aca="false">J27-I27</f>
        <v>1</v>
      </c>
      <c r="L27" s="7" t="s">
        <v>350</v>
      </c>
    </row>
    <row r="28" customFormat="false" ht="23.85" hidden="false" customHeight="false" outlineLevel="0" collapsed="false">
      <c r="A28" s="7" t="s">
        <v>45</v>
      </c>
      <c r="B28" s="7" t="s">
        <v>46</v>
      </c>
      <c r="C28" s="7" t="s">
        <v>49</v>
      </c>
      <c r="D28" s="7" t="s">
        <v>321</v>
      </c>
      <c r="E28" s="7" t="s">
        <v>326</v>
      </c>
      <c r="F28" s="7" t="s">
        <v>318</v>
      </c>
      <c r="G28" s="7" t="s">
        <v>337</v>
      </c>
      <c r="H28" s="7" t="s">
        <v>353</v>
      </c>
      <c r="I28" s="8" t="n">
        <f aca="false">Part_Marks!M8</f>
        <v>1</v>
      </c>
      <c r="J28" s="8" t="n">
        <v>2</v>
      </c>
      <c r="K28" s="8" t="n">
        <f aca="false">J28-I28</f>
        <v>1</v>
      </c>
      <c r="L28" s="7" t="s">
        <v>350</v>
      </c>
    </row>
    <row r="29" customFormat="false" ht="15" hidden="false" customHeight="false" outlineLevel="0" collapsed="false">
      <c r="A29" s="7" t="s">
        <v>45</v>
      </c>
      <c r="B29" s="7" t="s">
        <v>46</v>
      </c>
      <c r="C29" s="7" t="s">
        <v>232</v>
      </c>
      <c r="D29" s="7" t="s">
        <v>316</v>
      </c>
      <c r="E29" s="7" t="s">
        <v>322</v>
      </c>
      <c r="F29" s="7" t="s">
        <v>318</v>
      </c>
      <c r="G29" s="7" t="s">
        <v>330</v>
      </c>
      <c r="H29" s="7" t="s">
        <v>354</v>
      </c>
      <c r="I29" s="8" t="n">
        <f aca="false">Part_Marks!O8</f>
        <v>1</v>
      </c>
      <c r="J29" s="8" t="n">
        <v>2</v>
      </c>
      <c r="K29" s="8" t="n">
        <f aca="false">J29-I29</f>
        <v>1</v>
      </c>
      <c r="L29" s="7" t="s">
        <v>315</v>
      </c>
    </row>
    <row r="30" customFormat="false" ht="15" hidden="false" customHeight="false" outlineLevel="0" collapsed="false">
      <c r="A30" s="7" t="s">
        <v>45</v>
      </c>
      <c r="B30" s="7" t="s">
        <v>46</v>
      </c>
      <c r="C30" s="7" t="s">
        <v>232</v>
      </c>
      <c r="D30" s="7" t="s">
        <v>321</v>
      </c>
      <c r="E30" s="7" t="s">
        <v>317</v>
      </c>
      <c r="F30" s="7" t="s">
        <v>318</v>
      </c>
      <c r="G30" s="7" t="s">
        <v>347</v>
      </c>
      <c r="H30" s="7" t="s">
        <v>355</v>
      </c>
      <c r="I30" s="8" t="n">
        <f aca="false">Part_Marks!Q8</f>
        <v>1</v>
      </c>
      <c r="J30" s="8" t="n">
        <v>2</v>
      </c>
      <c r="K30" s="8" t="n">
        <f aca="false">J30-I30</f>
        <v>1</v>
      </c>
      <c r="L30" s="7" t="s">
        <v>315</v>
      </c>
    </row>
    <row r="31" customFormat="false" ht="15" hidden="false" customHeight="false" outlineLevel="0" collapsed="false">
      <c r="A31" s="7" t="s">
        <v>45</v>
      </c>
      <c r="B31" s="7" t="s">
        <v>46</v>
      </c>
      <c r="C31" s="7" t="s">
        <v>49</v>
      </c>
      <c r="D31" s="7" t="s">
        <v>305</v>
      </c>
      <c r="E31" s="7" t="s">
        <v>306</v>
      </c>
      <c r="F31" s="7" t="s">
        <v>8</v>
      </c>
      <c r="G31" s="7" t="s">
        <v>356</v>
      </c>
      <c r="H31" s="7" t="s">
        <v>357</v>
      </c>
      <c r="I31" s="8" t="n">
        <f aca="false">SUM(Part_Marks!J8:M8)</f>
        <v>6.5</v>
      </c>
      <c r="J31" s="8" t="n">
        <v>10</v>
      </c>
      <c r="K31" s="8" t="n">
        <f aca="false">J31-I31</f>
        <v>3.5</v>
      </c>
      <c r="L31" s="7" t="s">
        <v>350</v>
      </c>
    </row>
    <row r="32" customFormat="false" ht="15" hidden="false" customHeight="false" outlineLevel="0" collapsed="false">
      <c r="A32" s="7" t="s">
        <v>52</v>
      </c>
      <c r="B32" s="7" t="s">
        <v>53</v>
      </c>
      <c r="C32" s="7" t="s">
        <v>185</v>
      </c>
      <c r="D32" s="7" t="s">
        <v>325</v>
      </c>
      <c r="E32" s="7" t="s">
        <v>358</v>
      </c>
      <c r="F32" s="7" t="s">
        <v>318</v>
      </c>
      <c r="G32" s="7" t="s">
        <v>359</v>
      </c>
      <c r="H32" s="7" t="s">
        <v>360</v>
      </c>
      <c r="I32" s="8" t="n">
        <f aca="false">Part_Marks!C9</f>
        <v>0</v>
      </c>
      <c r="J32" s="8" t="n">
        <v>4</v>
      </c>
      <c r="K32" s="8" t="n">
        <f aca="false">J32-I32</f>
        <v>4</v>
      </c>
      <c r="L32" s="7" t="s">
        <v>315</v>
      </c>
    </row>
    <row r="33" customFormat="false" ht="15" hidden="false" customHeight="false" outlineLevel="0" collapsed="false">
      <c r="A33" s="7" t="s">
        <v>52</v>
      </c>
      <c r="B33" s="7" t="s">
        <v>53</v>
      </c>
      <c r="C33" s="7" t="s">
        <v>185</v>
      </c>
      <c r="D33" s="7" t="s">
        <v>316</v>
      </c>
      <c r="E33" s="7" t="s">
        <v>358</v>
      </c>
      <c r="F33" s="7" t="s">
        <v>318</v>
      </c>
      <c r="G33" s="7" t="s">
        <v>359</v>
      </c>
      <c r="H33" s="7" t="s">
        <v>361</v>
      </c>
      <c r="I33" s="8" t="n">
        <f aca="false">Part_Marks!D9</f>
        <v>0</v>
      </c>
      <c r="J33" s="8" t="n">
        <v>3</v>
      </c>
      <c r="K33" s="8" t="n">
        <f aca="false">J33-I33</f>
        <v>3</v>
      </c>
      <c r="L33" s="7" t="s">
        <v>315</v>
      </c>
    </row>
    <row r="34" customFormat="false" ht="15" hidden="false" customHeight="false" outlineLevel="0" collapsed="false">
      <c r="A34" s="7" t="s">
        <v>52</v>
      </c>
      <c r="B34" s="7" t="s">
        <v>53</v>
      </c>
      <c r="C34" s="7" t="s">
        <v>49</v>
      </c>
      <c r="D34" s="7" t="s">
        <v>316</v>
      </c>
      <c r="E34" s="7" t="s">
        <v>358</v>
      </c>
      <c r="F34" s="7" t="s">
        <v>318</v>
      </c>
      <c r="G34" s="7" t="s">
        <v>359</v>
      </c>
      <c r="H34" s="7" t="s">
        <v>362</v>
      </c>
      <c r="I34" s="8" t="n">
        <f aca="false">Part_Marks!K9</f>
        <v>0</v>
      </c>
      <c r="J34" s="8" t="n">
        <v>2</v>
      </c>
      <c r="K34" s="8" t="n">
        <f aca="false">J34-I34</f>
        <v>2</v>
      </c>
      <c r="L34" s="7" t="s">
        <v>315</v>
      </c>
    </row>
    <row r="35" customFormat="false" ht="15" hidden="false" customHeight="false" outlineLevel="0" collapsed="false">
      <c r="A35" s="7" t="s">
        <v>52</v>
      </c>
      <c r="B35" s="7" t="s">
        <v>53</v>
      </c>
      <c r="C35" s="7" t="s">
        <v>49</v>
      </c>
      <c r="D35" s="7" t="s">
        <v>310</v>
      </c>
      <c r="E35" s="7" t="s">
        <v>358</v>
      </c>
      <c r="F35" s="7" t="s">
        <v>318</v>
      </c>
      <c r="G35" s="7" t="s">
        <v>359</v>
      </c>
      <c r="H35" s="7" t="s">
        <v>363</v>
      </c>
      <c r="I35" s="8" t="n">
        <f aca="false">Part_Marks!L9</f>
        <v>0</v>
      </c>
      <c r="J35" s="8" t="n">
        <v>4</v>
      </c>
      <c r="K35" s="8" t="n">
        <f aca="false">J35-I35</f>
        <v>4</v>
      </c>
      <c r="L35" s="7" t="s">
        <v>315</v>
      </c>
    </row>
    <row r="36" customFormat="false" ht="15" hidden="false" customHeight="false" outlineLevel="0" collapsed="false">
      <c r="A36" s="7" t="s">
        <v>52</v>
      </c>
      <c r="B36" s="7" t="s">
        <v>53</v>
      </c>
      <c r="C36" s="7" t="s">
        <v>232</v>
      </c>
      <c r="D36" s="7" t="s">
        <v>325</v>
      </c>
      <c r="E36" s="7" t="s">
        <v>358</v>
      </c>
      <c r="F36" s="7" t="s">
        <v>318</v>
      </c>
      <c r="G36" s="7" t="s">
        <v>359</v>
      </c>
      <c r="H36" s="7" t="s">
        <v>364</v>
      </c>
      <c r="I36" s="8" t="n">
        <f aca="false">Part_Marks!N9</f>
        <v>0</v>
      </c>
      <c r="J36" s="8" t="n">
        <v>2</v>
      </c>
      <c r="K36" s="8" t="n">
        <f aca="false">J36-I36</f>
        <v>2</v>
      </c>
      <c r="L36" s="7" t="s">
        <v>315</v>
      </c>
    </row>
    <row r="37" customFormat="false" ht="15" hidden="false" customHeight="false" outlineLevel="0" collapsed="false">
      <c r="A37" s="7" t="s">
        <v>52</v>
      </c>
      <c r="B37" s="7" t="s">
        <v>53</v>
      </c>
      <c r="C37" s="7" t="s">
        <v>232</v>
      </c>
      <c r="D37" s="7" t="s">
        <v>316</v>
      </c>
      <c r="E37" s="7" t="s">
        <v>358</v>
      </c>
      <c r="F37" s="7" t="s">
        <v>318</v>
      </c>
      <c r="G37" s="7" t="s">
        <v>359</v>
      </c>
      <c r="H37" s="7" t="s">
        <v>365</v>
      </c>
      <c r="I37" s="8" t="n">
        <f aca="false">Part_Marks!O9</f>
        <v>0</v>
      </c>
      <c r="J37" s="8" t="n">
        <v>2</v>
      </c>
      <c r="K37" s="8" t="n">
        <f aca="false">J37-I37</f>
        <v>2</v>
      </c>
      <c r="L37" s="7" t="s">
        <v>315</v>
      </c>
    </row>
    <row r="38" customFormat="false" ht="15" hidden="false" customHeight="false" outlineLevel="0" collapsed="false">
      <c r="A38" s="7" t="s">
        <v>52</v>
      </c>
      <c r="B38" s="7" t="s">
        <v>53</v>
      </c>
      <c r="C38" s="7" t="s">
        <v>232</v>
      </c>
      <c r="D38" s="7" t="s">
        <v>310</v>
      </c>
      <c r="E38" s="7" t="s">
        <v>358</v>
      </c>
      <c r="F38" s="7" t="s">
        <v>318</v>
      </c>
      <c r="G38" s="7" t="s">
        <v>359</v>
      </c>
      <c r="H38" s="7" t="s">
        <v>366</v>
      </c>
      <c r="I38" s="8" t="n">
        <f aca="false">Part_Marks!P9</f>
        <v>0</v>
      </c>
      <c r="J38" s="8" t="n">
        <v>4</v>
      </c>
      <c r="K38" s="8" t="n">
        <f aca="false">J38-I38</f>
        <v>4</v>
      </c>
      <c r="L38" s="7" t="s">
        <v>315</v>
      </c>
    </row>
    <row r="39" customFormat="false" ht="15" hidden="false" customHeight="false" outlineLevel="0" collapsed="false">
      <c r="A39" s="7" t="s">
        <v>52</v>
      </c>
      <c r="B39" s="7" t="s">
        <v>53</v>
      </c>
      <c r="C39" s="7" t="s">
        <v>140</v>
      </c>
      <c r="D39" s="7" t="s">
        <v>305</v>
      </c>
      <c r="E39" s="7" t="s">
        <v>306</v>
      </c>
      <c r="F39" s="7" t="s">
        <v>307</v>
      </c>
      <c r="G39" s="7" t="s">
        <v>308</v>
      </c>
      <c r="H39" s="7" t="s">
        <v>309</v>
      </c>
      <c r="I39" s="8" t="n">
        <v>0</v>
      </c>
      <c r="J39" s="8" t="n">
        <v>10</v>
      </c>
      <c r="K39" s="8" t="n">
        <f aca="false">J39-I39</f>
        <v>10</v>
      </c>
      <c r="L39" s="7" t="s">
        <v>306</v>
      </c>
    </row>
    <row r="40" customFormat="false" ht="15" hidden="false" customHeight="false" outlineLevel="0" collapsed="false">
      <c r="A40" s="7" t="s">
        <v>58</v>
      </c>
      <c r="B40" s="7" t="s">
        <v>59</v>
      </c>
      <c r="C40" s="7" t="s">
        <v>140</v>
      </c>
      <c r="D40" s="7" t="s">
        <v>325</v>
      </c>
      <c r="E40" s="7" t="s">
        <v>326</v>
      </c>
      <c r="F40" s="7" t="s">
        <v>318</v>
      </c>
      <c r="G40" s="7" t="s">
        <v>319</v>
      </c>
      <c r="H40" s="7" t="s">
        <v>367</v>
      </c>
      <c r="I40" s="8" t="n">
        <f aca="false">Part_Marks!F10</f>
        <v>1.5</v>
      </c>
      <c r="J40" s="8" t="n">
        <v>2</v>
      </c>
      <c r="K40" s="8" t="n">
        <f aca="false">J40-I40</f>
        <v>0.5</v>
      </c>
      <c r="L40" s="7" t="s">
        <v>315</v>
      </c>
    </row>
    <row r="41" customFormat="false" ht="23.85" hidden="false" customHeight="false" outlineLevel="0" collapsed="false">
      <c r="A41" s="7" t="s">
        <v>58</v>
      </c>
      <c r="B41" s="7" t="s">
        <v>59</v>
      </c>
      <c r="C41" s="7" t="s">
        <v>140</v>
      </c>
      <c r="D41" s="7" t="s">
        <v>310</v>
      </c>
      <c r="E41" s="7" t="s">
        <v>317</v>
      </c>
      <c r="F41" s="7" t="s">
        <v>318</v>
      </c>
      <c r="G41" s="7" t="s">
        <v>330</v>
      </c>
      <c r="H41" s="7" t="s">
        <v>368</v>
      </c>
      <c r="I41" s="8" t="n">
        <f aca="false">Part_Marks!H10</f>
        <v>2.5</v>
      </c>
      <c r="J41" s="8" t="n">
        <v>4</v>
      </c>
      <c r="K41" s="8" t="n">
        <f aca="false">J41-I41</f>
        <v>1.5</v>
      </c>
      <c r="L41" s="7" t="s">
        <v>315</v>
      </c>
    </row>
    <row r="42" customFormat="false" ht="23.85" hidden="false" customHeight="false" outlineLevel="0" collapsed="false">
      <c r="A42" s="7" t="s">
        <v>58</v>
      </c>
      <c r="B42" s="7" t="s">
        <v>59</v>
      </c>
      <c r="C42" s="7" t="s">
        <v>49</v>
      </c>
      <c r="D42" s="7" t="s">
        <v>321</v>
      </c>
      <c r="E42" s="7" t="s">
        <v>329</v>
      </c>
      <c r="F42" s="7" t="s">
        <v>318</v>
      </c>
      <c r="G42" s="7" t="s">
        <v>369</v>
      </c>
      <c r="H42" s="7" t="s">
        <v>370</v>
      </c>
      <c r="I42" s="8" t="n">
        <f aca="false">Part_Marks!M10</f>
        <v>1</v>
      </c>
      <c r="J42" s="8" t="n">
        <v>2</v>
      </c>
      <c r="K42" s="8" t="n">
        <f aca="false">J42-I42</f>
        <v>1</v>
      </c>
      <c r="L42" s="7" t="s">
        <v>315</v>
      </c>
    </row>
    <row r="43" customFormat="false" ht="23.85" hidden="false" customHeight="false" outlineLevel="0" collapsed="false">
      <c r="A43" s="7" t="s">
        <v>58</v>
      </c>
      <c r="B43" s="7" t="s">
        <v>59</v>
      </c>
      <c r="C43" s="7" t="s">
        <v>232</v>
      </c>
      <c r="D43" s="7" t="s">
        <v>316</v>
      </c>
      <c r="E43" s="7" t="s">
        <v>329</v>
      </c>
      <c r="F43" s="7" t="s">
        <v>318</v>
      </c>
      <c r="G43" s="7" t="s">
        <v>330</v>
      </c>
      <c r="H43" s="7" t="s">
        <v>339</v>
      </c>
      <c r="I43" s="8" t="n">
        <f aca="false">Part_Marks!O10</f>
        <v>1</v>
      </c>
      <c r="J43" s="8" t="n">
        <v>2</v>
      </c>
      <c r="K43" s="8" t="n">
        <f aca="false">J43-I43</f>
        <v>1</v>
      </c>
      <c r="L43" s="7" t="s">
        <v>315</v>
      </c>
    </row>
    <row r="44" customFormat="false" ht="15" hidden="false" customHeight="false" outlineLevel="0" collapsed="false">
      <c r="A44" s="7" t="s">
        <v>58</v>
      </c>
      <c r="B44" s="7" t="s">
        <v>59</v>
      </c>
      <c r="C44" s="7" t="s">
        <v>232</v>
      </c>
      <c r="D44" s="7" t="s">
        <v>310</v>
      </c>
      <c r="E44" s="7" t="s">
        <v>326</v>
      </c>
      <c r="F44" s="7" t="s">
        <v>318</v>
      </c>
      <c r="G44" s="7" t="s">
        <v>333</v>
      </c>
      <c r="H44" s="7" t="s">
        <v>371</v>
      </c>
      <c r="I44" s="8" t="n">
        <f aca="false">Part_Marks!P10</f>
        <v>3</v>
      </c>
      <c r="J44" s="8" t="n">
        <v>4</v>
      </c>
      <c r="K44" s="8" t="n">
        <f aca="false">J44-I44</f>
        <v>1</v>
      </c>
      <c r="L44" s="7" t="s">
        <v>315</v>
      </c>
    </row>
    <row r="45" customFormat="false" ht="23.85" hidden="false" customHeight="false" outlineLevel="0" collapsed="false">
      <c r="A45" s="7" t="s">
        <v>58</v>
      </c>
      <c r="B45" s="7" t="s">
        <v>59</v>
      </c>
      <c r="C45" s="7" t="s">
        <v>232</v>
      </c>
      <c r="D45" s="7" t="s">
        <v>321</v>
      </c>
      <c r="E45" s="7" t="s">
        <v>329</v>
      </c>
      <c r="F45" s="7" t="s">
        <v>318</v>
      </c>
      <c r="G45" s="7" t="s">
        <v>347</v>
      </c>
      <c r="H45" s="7" t="s">
        <v>372</v>
      </c>
      <c r="I45" s="8" t="n">
        <f aca="false">Part_Marks!Q10</f>
        <v>1.5</v>
      </c>
      <c r="J45" s="8" t="n">
        <v>2</v>
      </c>
      <c r="K45" s="8" t="n">
        <f aca="false">J45-I45</f>
        <v>0.5</v>
      </c>
      <c r="L45" s="7" t="s">
        <v>315</v>
      </c>
    </row>
    <row r="46" customFormat="false" ht="15" hidden="false" customHeight="false" outlineLevel="0" collapsed="false">
      <c r="A46" s="7" t="s">
        <v>63</v>
      </c>
      <c r="B46" s="7" t="s">
        <v>64</v>
      </c>
      <c r="C46" s="7" t="s">
        <v>140</v>
      </c>
      <c r="D46" s="7" t="s">
        <v>325</v>
      </c>
      <c r="E46" s="7" t="s">
        <v>322</v>
      </c>
      <c r="F46" s="7" t="s">
        <v>318</v>
      </c>
      <c r="G46" s="7" t="s">
        <v>337</v>
      </c>
      <c r="H46" s="7" t="s">
        <v>373</v>
      </c>
      <c r="I46" s="8" t="n">
        <f aca="false">Part_Marks!F11</f>
        <v>1</v>
      </c>
      <c r="J46" s="8" t="n">
        <v>2</v>
      </c>
      <c r="K46" s="8" t="n">
        <f aca="false">J46-I46</f>
        <v>1</v>
      </c>
      <c r="L46" s="7" t="s">
        <v>315</v>
      </c>
    </row>
    <row r="47" customFormat="false" ht="23.85" hidden="false" customHeight="false" outlineLevel="0" collapsed="false">
      <c r="A47" s="7" t="s">
        <v>63</v>
      </c>
      <c r="B47" s="7" t="s">
        <v>64</v>
      </c>
      <c r="C47" s="7" t="s">
        <v>140</v>
      </c>
      <c r="D47" s="7" t="s">
        <v>316</v>
      </c>
      <c r="E47" s="7" t="s">
        <v>326</v>
      </c>
      <c r="F47" s="7" t="s">
        <v>318</v>
      </c>
      <c r="G47" s="7" t="s">
        <v>330</v>
      </c>
      <c r="H47" s="7" t="s">
        <v>335</v>
      </c>
      <c r="I47" s="8" t="n">
        <f aca="false">Part_Marks!G11</f>
        <v>1</v>
      </c>
      <c r="J47" s="8" t="n">
        <v>2</v>
      </c>
      <c r="K47" s="8" t="n">
        <f aca="false">J47-I47</f>
        <v>1</v>
      </c>
      <c r="L47" s="7" t="s">
        <v>315</v>
      </c>
    </row>
    <row r="48" customFormat="false" ht="23.85" hidden="false" customHeight="false" outlineLevel="0" collapsed="false">
      <c r="A48" s="7" t="s">
        <v>63</v>
      </c>
      <c r="B48" s="7" t="s">
        <v>64</v>
      </c>
      <c r="C48" s="7" t="s">
        <v>140</v>
      </c>
      <c r="D48" s="7" t="s">
        <v>310</v>
      </c>
      <c r="E48" s="7" t="s">
        <v>322</v>
      </c>
      <c r="F48" s="7" t="s">
        <v>318</v>
      </c>
      <c r="G48" s="7" t="s">
        <v>337</v>
      </c>
      <c r="H48" s="7" t="s">
        <v>374</v>
      </c>
      <c r="I48" s="8" t="n">
        <f aca="false">Part_Marks!H11</f>
        <v>0.5</v>
      </c>
      <c r="J48" s="8" t="n">
        <v>4</v>
      </c>
      <c r="K48" s="8" t="n">
        <f aca="false">J48-I48</f>
        <v>3.5</v>
      </c>
      <c r="L48" s="7" t="s">
        <v>315</v>
      </c>
    </row>
    <row r="49" customFormat="false" ht="23.85" hidden="false" customHeight="false" outlineLevel="0" collapsed="false">
      <c r="A49" s="7" t="s">
        <v>63</v>
      </c>
      <c r="B49" s="7" t="s">
        <v>64</v>
      </c>
      <c r="C49" s="7" t="s">
        <v>140</v>
      </c>
      <c r="D49" s="7" t="s">
        <v>321</v>
      </c>
      <c r="E49" s="7" t="s">
        <v>322</v>
      </c>
      <c r="F49" s="7" t="s">
        <v>318</v>
      </c>
      <c r="G49" s="7" t="s">
        <v>337</v>
      </c>
      <c r="H49" s="7" t="s">
        <v>375</v>
      </c>
      <c r="I49" s="8" t="n">
        <f aca="false">Part_Marks!I11</f>
        <v>1</v>
      </c>
      <c r="J49" s="8" t="n">
        <v>2</v>
      </c>
      <c r="K49" s="8" t="n">
        <f aca="false">J49-I49</f>
        <v>1</v>
      </c>
      <c r="L49" s="7" t="s">
        <v>315</v>
      </c>
    </row>
    <row r="50" customFormat="false" ht="15" hidden="false" customHeight="false" outlineLevel="0" collapsed="false">
      <c r="A50" s="7" t="s">
        <v>63</v>
      </c>
      <c r="B50" s="7" t="s">
        <v>64</v>
      </c>
      <c r="C50" s="7" t="s">
        <v>49</v>
      </c>
      <c r="D50" s="7" t="s">
        <v>325</v>
      </c>
      <c r="E50" s="7" t="s">
        <v>322</v>
      </c>
      <c r="F50" s="7" t="s">
        <v>318</v>
      </c>
      <c r="G50" s="7" t="s">
        <v>337</v>
      </c>
      <c r="H50" s="7" t="s">
        <v>376</v>
      </c>
      <c r="I50" s="8" t="n">
        <f aca="false">Part_Marks!J11</f>
        <v>0</v>
      </c>
      <c r="J50" s="8" t="n">
        <v>2</v>
      </c>
      <c r="K50" s="8" t="n">
        <f aca="false">J50-I50</f>
        <v>2</v>
      </c>
      <c r="L50" s="7" t="s">
        <v>315</v>
      </c>
    </row>
    <row r="51" customFormat="false" ht="23.85" hidden="false" customHeight="false" outlineLevel="0" collapsed="false">
      <c r="A51" s="7" t="s">
        <v>63</v>
      </c>
      <c r="B51" s="7" t="s">
        <v>64</v>
      </c>
      <c r="C51" s="7" t="s">
        <v>49</v>
      </c>
      <c r="D51" s="7" t="s">
        <v>316</v>
      </c>
      <c r="E51" s="7" t="s">
        <v>326</v>
      </c>
      <c r="F51" s="7" t="s">
        <v>318</v>
      </c>
      <c r="G51" s="7" t="s">
        <v>344</v>
      </c>
      <c r="H51" s="7" t="s">
        <v>377</v>
      </c>
      <c r="I51" s="8" t="n">
        <f aca="false">Part_Marks!K11</f>
        <v>1</v>
      </c>
      <c r="J51" s="8" t="n">
        <v>2</v>
      </c>
      <c r="K51" s="8" t="n">
        <f aca="false">J51-I51</f>
        <v>1</v>
      </c>
      <c r="L51" s="7" t="s">
        <v>315</v>
      </c>
    </row>
    <row r="52" customFormat="false" ht="23.85" hidden="false" customHeight="false" outlineLevel="0" collapsed="false">
      <c r="A52" s="7" t="s">
        <v>63</v>
      </c>
      <c r="B52" s="7" t="s">
        <v>64</v>
      </c>
      <c r="C52" s="7" t="s">
        <v>49</v>
      </c>
      <c r="D52" s="7" t="s">
        <v>310</v>
      </c>
      <c r="E52" s="7" t="s">
        <v>322</v>
      </c>
      <c r="F52" s="7" t="s">
        <v>318</v>
      </c>
      <c r="G52" s="7" t="s">
        <v>337</v>
      </c>
      <c r="H52" s="7" t="s">
        <v>378</v>
      </c>
      <c r="I52" s="8" t="n">
        <f aca="false">Part_Marks!L11</f>
        <v>1</v>
      </c>
      <c r="J52" s="8" t="n">
        <v>4</v>
      </c>
      <c r="K52" s="8" t="n">
        <f aca="false">J52-I52</f>
        <v>3</v>
      </c>
      <c r="L52" s="7" t="s">
        <v>315</v>
      </c>
    </row>
    <row r="53" customFormat="false" ht="15" hidden="false" customHeight="false" outlineLevel="0" collapsed="false">
      <c r="A53" s="7" t="s">
        <v>63</v>
      </c>
      <c r="B53" s="7" t="s">
        <v>64</v>
      </c>
      <c r="C53" s="7" t="s">
        <v>49</v>
      </c>
      <c r="D53" s="7" t="s">
        <v>321</v>
      </c>
      <c r="E53" s="7" t="s">
        <v>322</v>
      </c>
      <c r="F53" s="7" t="s">
        <v>318</v>
      </c>
      <c r="G53" s="7" t="s">
        <v>337</v>
      </c>
      <c r="H53" s="7" t="s">
        <v>379</v>
      </c>
      <c r="I53" s="8" t="n">
        <f aca="false">Part_Marks!M11</f>
        <v>0</v>
      </c>
      <c r="J53" s="8" t="n">
        <v>2</v>
      </c>
      <c r="K53" s="8" t="n">
        <f aca="false">J53-I53</f>
        <v>2</v>
      </c>
      <c r="L53" s="7" t="s">
        <v>315</v>
      </c>
    </row>
    <row r="54" customFormat="false" ht="23.85" hidden="false" customHeight="false" outlineLevel="0" collapsed="false">
      <c r="A54" s="7" t="s">
        <v>63</v>
      </c>
      <c r="B54" s="7" t="s">
        <v>64</v>
      </c>
      <c r="C54" s="7" t="s">
        <v>232</v>
      </c>
      <c r="D54" s="7" t="s">
        <v>325</v>
      </c>
      <c r="E54" s="7" t="s">
        <v>329</v>
      </c>
      <c r="F54" s="7" t="s">
        <v>318</v>
      </c>
      <c r="G54" s="7" t="s">
        <v>337</v>
      </c>
      <c r="H54" s="7" t="s">
        <v>380</v>
      </c>
      <c r="I54" s="8" t="n">
        <f aca="false">Part_Marks!N11</f>
        <v>0.5</v>
      </c>
      <c r="J54" s="8" t="n">
        <v>2</v>
      </c>
      <c r="K54" s="8" t="n">
        <f aca="false">J54-I54</f>
        <v>1.5</v>
      </c>
      <c r="L54" s="7" t="s">
        <v>315</v>
      </c>
    </row>
    <row r="55" customFormat="false" ht="23.85" hidden="false" customHeight="false" outlineLevel="0" collapsed="false">
      <c r="A55" s="7" t="s">
        <v>63</v>
      </c>
      <c r="B55" s="7" t="s">
        <v>64</v>
      </c>
      <c r="C55" s="7" t="s">
        <v>232</v>
      </c>
      <c r="D55" s="7" t="s">
        <v>316</v>
      </c>
      <c r="E55" s="7" t="s">
        <v>326</v>
      </c>
      <c r="F55" s="7" t="s">
        <v>318</v>
      </c>
      <c r="G55" s="7" t="s">
        <v>337</v>
      </c>
      <c r="H55" s="7" t="s">
        <v>381</v>
      </c>
      <c r="I55" s="8" t="n">
        <f aca="false">Part_Marks!O11</f>
        <v>0</v>
      </c>
      <c r="J55" s="8" t="n">
        <v>2</v>
      </c>
      <c r="K55" s="8" t="n">
        <f aca="false">J55-I55</f>
        <v>2</v>
      </c>
      <c r="L55" s="7" t="s">
        <v>315</v>
      </c>
    </row>
    <row r="56" customFormat="false" ht="23.85" hidden="false" customHeight="false" outlineLevel="0" collapsed="false">
      <c r="A56" s="7" t="s">
        <v>63</v>
      </c>
      <c r="B56" s="7" t="s">
        <v>64</v>
      </c>
      <c r="C56" s="7" t="s">
        <v>232</v>
      </c>
      <c r="D56" s="7" t="s">
        <v>310</v>
      </c>
      <c r="E56" s="7" t="s">
        <v>329</v>
      </c>
      <c r="F56" s="7" t="s">
        <v>318</v>
      </c>
      <c r="G56" s="7" t="s">
        <v>337</v>
      </c>
      <c r="H56" s="7" t="s">
        <v>382</v>
      </c>
      <c r="I56" s="8" t="n">
        <f aca="false">Part_Marks!P11</f>
        <v>1</v>
      </c>
      <c r="J56" s="8" t="n">
        <v>4</v>
      </c>
      <c r="K56" s="8" t="n">
        <f aca="false">J56-I56</f>
        <v>3</v>
      </c>
      <c r="L56" s="7" t="s">
        <v>315</v>
      </c>
    </row>
    <row r="57" customFormat="false" ht="23.85" hidden="false" customHeight="false" outlineLevel="0" collapsed="false">
      <c r="A57" s="7" t="s">
        <v>63</v>
      </c>
      <c r="B57" s="7" t="s">
        <v>64</v>
      </c>
      <c r="C57" s="7" t="s">
        <v>232</v>
      </c>
      <c r="D57" s="7" t="s">
        <v>321</v>
      </c>
      <c r="E57" s="7" t="s">
        <v>326</v>
      </c>
      <c r="F57" s="7" t="s">
        <v>318</v>
      </c>
      <c r="G57" s="7" t="s">
        <v>337</v>
      </c>
      <c r="H57" s="7" t="s">
        <v>341</v>
      </c>
      <c r="I57" s="8" t="n">
        <f aca="false">Part_Marks!Q11</f>
        <v>1</v>
      </c>
      <c r="J57" s="8" t="n">
        <v>2</v>
      </c>
      <c r="K57" s="8" t="n">
        <f aca="false">J57-I57</f>
        <v>1</v>
      </c>
      <c r="L57" s="7" t="s">
        <v>315</v>
      </c>
    </row>
    <row r="58" customFormat="false" ht="15" hidden="false" customHeight="false" outlineLevel="0" collapsed="false">
      <c r="A58" s="7" t="s">
        <v>63</v>
      </c>
      <c r="B58" s="7" t="s">
        <v>64</v>
      </c>
      <c r="C58" s="7" t="s">
        <v>185</v>
      </c>
      <c r="D58" s="7" t="s">
        <v>305</v>
      </c>
      <c r="E58" s="7" t="s">
        <v>306</v>
      </c>
      <c r="F58" s="7" t="s">
        <v>307</v>
      </c>
      <c r="G58" s="7" t="s">
        <v>308</v>
      </c>
      <c r="H58" s="7" t="s">
        <v>309</v>
      </c>
      <c r="I58" s="8" t="n">
        <v>0</v>
      </c>
      <c r="J58" s="8" t="n">
        <v>10</v>
      </c>
      <c r="K58" s="8" t="n">
        <f aca="false">J58-I58</f>
        <v>10</v>
      </c>
      <c r="L58" s="7" t="s">
        <v>306</v>
      </c>
    </row>
    <row r="59" customFormat="false" ht="23.85" hidden="false" customHeight="false" outlineLevel="0" collapsed="false">
      <c r="A59" s="7" t="s">
        <v>68</v>
      </c>
      <c r="B59" s="7" t="s">
        <v>69</v>
      </c>
      <c r="C59" s="7" t="s">
        <v>185</v>
      </c>
      <c r="D59" s="7" t="s">
        <v>310</v>
      </c>
      <c r="E59" s="7" t="s">
        <v>322</v>
      </c>
      <c r="F59" s="7" t="s">
        <v>318</v>
      </c>
      <c r="G59" s="7" t="s">
        <v>383</v>
      </c>
      <c r="H59" s="7" t="s">
        <v>384</v>
      </c>
      <c r="I59" s="8" t="n">
        <f aca="false">Part_Marks!E12</f>
        <v>2</v>
      </c>
      <c r="J59" s="8" t="n">
        <v>3</v>
      </c>
      <c r="K59" s="8" t="n">
        <f aca="false">J59-I59</f>
        <v>1</v>
      </c>
      <c r="L59" s="7" t="s">
        <v>315</v>
      </c>
    </row>
    <row r="60" customFormat="false" ht="15" hidden="false" customHeight="false" outlineLevel="0" collapsed="false">
      <c r="A60" s="7" t="s">
        <v>68</v>
      </c>
      <c r="B60" s="7" t="s">
        <v>69</v>
      </c>
      <c r="C60" s="7" t="s">
        <v>232</v>
      </c>
      <c r="D60" s="7" t="s">
        <v>316</v>
      </c>
      <c r="E60" s="7" t="s">
        <v>322</v>
      </c>
      <c r="F60" s="7" t="s">
        <v>318</v>
      </c>
      <c r="G60" s="7" t="s">
        <v>330</v>
      </c>
      <c r="H60" s="7" t="s">
        <v>354</v>
      </c>
      <c r="I60" s="8" t="n">
        <f aca="false">Part_Marks!O12</f>
        <v>1</v>
      </c>
      <c r="J60" s="8" t="n">
        <v>2</v>
      </c>
      <c r="K60" s="8" t="n">
        <f aca="false">J60-I60</f>
        <v>1</v>
      </c>
      <c r="L60" s="7" t="s">
        <v>315</v>
      </c>
    </row>
    <row r="61" customFormat="false" ht="23.85" hidden="false" customHeight="false" outlineLevel="0" collapsed="false">
      <c r="A61" s="7" t="s">
        <v>68</v>
      </c>
      <c r="B61" s="7" t="s">
        <v>69</v>
      </c>
      <c r="C61" s="7" t="s">
        <v>232</v>
      </c>
      <c r="D61" s="7" t="s">
        <v>321</v>
      </c>
      <c r="E61" s="7" t="s">
        <v>322</v>
      </c>
      <c r="F61" s="7" t="s">
        <v>318</v>
      </c>
      <c r="G61" s="7" t="s">
        <v>323</v>
      </c>
      <c r="H61" s="7" t="s">
        <v>324</v>
      </c>
      <c r="I61" s="8" t="n">
        <f aca="false">Part_Marks!Q12</f>
        <v>1.5</v>
      </c>
      <c r="J61" s="8" t="n">
        <v>2</v>
      </c>
      <c r="K61" s="8" t="n">
        <f aca="false">J61-I61</f>
        <v>0.5</v>
      </c>
      <c r="L61" s="7" t="s">
        <v>315</v>
      </c>
    </row>
    <row r="62" customFormat="false" ht="15" hidden="false" customHeight="false" outlineLevel="0" collapsed="false">
      <c r="A62" s="7" t="s">
        <v>68</v>
      </c>
      <c r="B62" s="7" t="s">
        <v>69</v>
      </c>
      <c r="C62" s="7" t="s">
        <v>140</v>
      </c>
      <c r="D62" s="7" t="s">
        <v>305</v>
      </c>
      <c r="E62" s="7" t="s">
        <v>306</v>
      </c>
      <c r="F62" s="7" t="s">
        <v>307</v>
      </c>
      <c r="G62" s="7" t="s">
        <v>308</v>
      </c>
      <c r="H62" s="7" t="s">
        <v>309</v>
      </c>
      <c r="I62" s="8" t="n">
        <v>0</v>
      </c>
      <c r="J62" s="8" t="n">
        <v>10</v>
      </c>
      <c r="K62" s="8" t="n">
        <f aca="false">J62-I62</f>
        <v>10</v>
      </c>
      <c r="L62" s="7" t="s">
        <v>306</v>
      </c>
    </row>
    <row r="63" customFormat="false" ht="15" hidden="false" customHeight="false" outlineLevel="0" collapsed="false">
      <c r="A63" s="7" t="s">
        <v>68</v>
      </c>
      <c r="B63" s="7" t="s">
        <v>69</v>
      </c>
      <c r="C63" s="7" t="s">
        <v>49</v>
      </c>
      <c r="D63" s="7" t="s">
        <v>305</v>
      </c>
      <c r="E63" s="7" t="s">
        <v>306</v>
      </c>
      <c r="F63" s="7" t="s">
        <v>307</v>
      </c>
      <c r="G63" s="7" t="s">
        <v>308</v>
      </c>
      <c r="H63" s="7" t="s">
        <v>309</v>
      </c>
      <c r="I63" s="8" t="n">
        <v>0</v>
      </c>
      <c r="J63" s="8" t="n">
        <v>10</v>
      </c>
      <c r="K63" s="8" t="n">
        <f aca="false">J63-I63</f>
        <v>10</v>
      </c>
      <c r="L63" s="7" t="s">
        <v>306</v>
      </c>
    </row>
    <row r="64" customFormat="false" ht="15" hidden="false" customHeight="false" outlineLevel="0" collapsed="false">
      <c r="A64" s="7" t="s">
        <v>74</v>
      </c>
      <c r="B64" s="7" t="s">
        <v>75</v>
      </c>
      <c r="C64" s="7" t="s">
        <v>185</v>
      </c>
      <c r="D64" s="7" t="s">
        <v>325</v>
      </c>
      <c r="E64" s="7" t="s">
        <v>329</v>
      </c>
      <c r="F64" s="7" t="s">
        <v>318</v>
      </c>
      <c r="G64" s="7" t="s">
        <v>337</v>
      </c>
      <c r="H64" s="7" t="s">
        <v>342</v>
      </c>
      <c r="I64" s="8" t="n">
        <f aca="false">Part_Marks!C13</f>
        <v>2</v>
      </c>
      <c r="J64" s="8" t="n">
        <v>4</v>
      </c>
      <c r="K64" s="8" t="n">
        <f aca="false">J64-I64</f>
        <v>2</v>
      </c>
      <c r="L64" s="7" t="s">
        <v>315</v>
      </c>
    </row>
    <row r="65" customFormat="false" ht="15" hidden="false" customHeight="false" outlineLevel="0" collapsed="false">
      <c r="A65" s="7" t="s">
        <v>74</v>
      </c>
      <c r="B65" s="7" t="s">
        <v>75</v>
      </c>
      <c r="C65" s="7" t="s">
        <v>140</v>
      </c>
      <c r="D65" s="7" t="s">
        <v>316</v>
      </c>
      <c r="E65" s="7" t="s">
        <v>322</v>
      </c>
      <c r="F65" s="7" t="s">
        <v>318</v>
      </c>
      <c r="G65" s="7" t="s">
        <v>319</v>
      </c>
      <c r="H65" s="7" t="s">
        <v>346</v>
      </c>
      <c r="I65" s="8" t="n">
        <f aca="false">Part_Marks!G13</f>
        <v>1.5</v>
      </c>
      <c r="J65" s="8" t="n">
        <v>2</v>
      </c>
      <c r="K65" s="8" t="n">
        <f aca="false">J65-I65</f>
        <v>0.5</v>
      </c>
      <c r="L65" s="7" t="s">
        <v>315</v>
      </c>
    </row>
    <row r="66" customFormat="false" ht="23.85" hidden="false" customHeight="false" outlineLevel="0" collapsed="false">
      <c r="A66" s="7" t="s">
        <v>74</v>
      </c>
      <c r="B66" s="7" t="s">
        <v>75</v>
      </c>
      <c r="C66" s="7" t="s">
        <v>140</v>
      </c>
      <c r="D66" s="7" t="s">
        <v>310</v>
      </c>
      <c r="E66" s="7" t="s">
        <v>329</v>
      </c>
      <c r="F66" s="7" t="s">
        <v>318</v>
      </c>
      <c r="G66" s="7" t="s">
        <v>327</v>
      </c>
      <c r="H66" s="7" t="s">
        <v>336</v>
      </c>
      <c r="I66" s="8" t="n">
        <f aca="false">Part_Marks!H13</f>
        <v>2</v>
      </c>
      <c r="J66" s="8" t="n">
        <v>4</v>
      </c>
      <c r="K66" s="8" t="n">
        <f aca="false">J66-I66</f>
        <v>2</v>
      </c>
      <c r="L66" s="7" t="s">
        <v>315</v>
      </c>
    </row>
    <row r="67" customFormat="false" ht="23.85" hidden="false" customHeight="false" outlineLevel="0" collapsed="false">
      <c r="A67" s="7" t="s">
        <v>74</v>
      </c>
      <c r="B67" s="7" t="s">
        <v>75</v>
      </c>
      <c r="C67" s="7" t="s">
        <v>140</v>
      </c>
      <c r="D67" s="7" t="s">
        <v>321</v>
      </c>
      <c r="E67" s="7" t="s">
        <v>322</v>
      </c>
      <c r="F67" s="7" t="s">
        <v>318</v>
      </c>
      <c r="G67" s="7" t="s">
        <v>337</v>
      </c>
      <c r="H67" s="7" t="s">
        <v>375</v>
      </c>
      <c r="I67" s="8" t="n">
        <f aca="false">Part_Marks!I13</f>
        <v>1</v>
      </c>
      <c r="J67" s="8" t="n">
        <v>2</v>
      </c>
      <c r="K67" s="8" t="n">
        <f aca="false">J67-I67</f>
        <v>1</v>
      </c>
      <c r="L67" s="7" t="s">
        <v>315</v>
      </c>
    </row>
    <row r="68" customFormat="false" ht="15" hidden="false" customHeight="false" outlineLevel="0" collapsed="false">
      <c r="A68" s="7" t="s">
        <v>74</v>
      </c>
      <c r="B68" s="7" t="s">
        <v>75</v>
      </c>
      <c r="C68" s="7" t="s">
        <v>49</v>
      </c>
      <c r="D68" s="7" t="s">
        <v>325</v>
      </c>
      <c r="E68" s="7" t="s">
        <v>329</v>
      </c>
      <c r="F68" s="7" t="s">
        <v>318</v>
      </c>
      <c r="G68" s="7" t="s">
        <v>319</v>
      </c>
      <c r="H68" s="7" t="s">
        <v>385</v>
      </c>
      <c r="I68" s="8" t="n">
        <f aca="false">Part_Marks!J13</f>
        <v>1</v>
      </c>
      <c r="J68" s="8" t="n">
        <v>2</v>
      </c>
      <c r="K68" s="8" t="n">
        <f aca="false">J68-I68</f>
        <v>1</v>
      </c>
      <c r="L68" s="7" t="s">
        <v>315</v>
      </c>
    </row>
    <row r="69" customFormat="false" ht="23.85" hidden="false" customHeight="false" outlineLevel="0" collapsed="false">
      <c r="A69" s="7" t="s">
        <v>74</v>
      </c>
      <c r="B69" s="7" t="s">
        <v>75</v>
      </c>
      <c r="C69" s="7" t="s">
        <v>49</v>
      </c>
      <c r="D69" s="7" t="s">
        <v>316</v>
      </c>
      <c r="E69" s="7" t="s">
        <v>322</v>
      </c>
      <c r="F69" s="7" t="s">
        <v>318</v>
      </c>
      <c r="G69" s="7" t="s">
        <v>330</v>
      </c>
      <c r="H69" s="7" t="s">
        <v>386</v>
      </c>
      <c r="I69" s="8" t="n">
        <f aca="false">Part_Marks!K13</f>
        <v>1</v>
      </c>
      <c r="J69" s="8" t="n">
        <v>2</v>
      </c>
      <c r="K69" s="8" t="n">
        <f aca="false">J69-I69</f>
        <v>1</v>
      </c>
      <c r="L69" s="7" t="s">
        <v>315</v>
      </c>
    </row>
    <row r="70" customFormat="false" ht="15" hidden="false" customHeight="false" outlineLevel="0" collapsed="false">
      <c r="A70" s="7" t="s">
        <v>74</v>
      </c>
      <c r="B70" s="7" t="s">
        <v>75</v>
      </c>
      <c r="C70" s="7" t="s">
        <v>49</v>
      </c>
      <c r="D70" s="7" t="s">
        <v>310</v>
      </c>
      <c r="E70" s="7" t="s">
        <v>326</v>
      </c>
      <c r="F70" s="7" t="s">
        <v>318</v>
      </c>
      <c r="G70" s="7" t="s">
        <v>333</v>
      </c>
      <c r="H70" s="7" t="s">
        <v>387</v>
      </c>
      <c r="I70" s="8" t="n">
        <f aca="false">Part_Marks!L13</f>
        <v>2</v>
      </c>
      <c r="J70" s="8" t="n">
        <v>4</v>
      </c>
      <c r="K70" s="8" t="n">
        <f aca="false">J70-I70</f>
        <v>2</v>
      </c>
      <c r="L70" s="7" t="s">
        <v>315</v>
      </c>
    </row>
    <row r="71" customFormat="false" ht="15" hidden="false" customHeight="false" outlineLevel="0" collapsed="false">
      <c r="A71" s="7" t="s">
        <v>74</v>
      </c>
      <c r="B71" s="7" t="s">
        <v>75</v>
      </c>
      <c r="C71" s="7" t="s">
        <v>232</v>
      </c>
      <c r="D71" s="7" t="s">
        <v>305</v>
      </c>
      <c r="E71" s="7" t="s">
        <v>306</v>
      </c>
      <c r="F71" s="7" t="s">
        <v>307</v>
      </c>
      <c r="G71" s="7" t="s">
        <v>308</v>
      </c>
      <c r="H71" s="7" t="s">
        <v>309</v>
      </c>
      <c r="I71" s="8" t="n">
        <v>0</v>
      </c>
      <c r="J71" s="8" t="n">
        <v>10</v>
      </c>
      <c r="K71" s="8" t="n">
        <f aca="false">J71-I71</f>
        <v>10</v>
      </c>
      <c r="L71" s="7" t="s">
        <v>306</v>
      </c>
    </row>
    <row r="72" customFormat="false" ht="15" hidden="false" customHeight="false" outlineLevel="0" collapsed="false">
      <c r="A72" s="7" t="s">
        <v>80</v>
      </c>
      <c r="B72" s="7" t="s">
        <v>81</v>
      </c>
      <c r="C72" s="7" t="s">
        <v>185</v>
      </c>
      <c r="D72" s="7" t="s">
        <v>316</v>
      </c>
      <c r="E72" s="7" t="s">
        <v>329</v>
      </c>
      <c r="F72" s="7" t="s">
        <v>318</v>
      </c>
      <c r="G72" s="7" t="s">
        <v>330</v>
      </c>
      <c r="H72" s="7" t="s">
        <v>331</v>
      </c>
      <c r="I72" s="8" t="n">
        <f aca="false">Part_Marks!D14</f>
        <v>2.5</v>
      </c>
      <c r="J72" s="8" t="n">
        <v>3</v>
      </c>
      <c r="K72" s="8" t="n">
        <f aca="false">J72-I72</f>
        <v>0.5</v>
      </c>
      <c r="L72" s="7" t="s">
        <v>315</v>
      </c>
    </row>
    <row r="73" customFormat="false" ht="23.85" hidden="false" customHeight="false" outlineLevel="0" collapsed="false">
      <c r="A73" s="7" t="s">
        <v>80</v>
      </c>
      <c r="B73" s="7" t="s">
        <v>81</v>
      </c>
      <c r="C73" s="7" t="s">
        <v>49</v>
      </c>
      <c r="D73" s="7" t="s">
        <v>316</v>
      </c>
      <c r="E73" s="7" t="s">
        <v>326</v>
      </c>
      <c r="F73" s="7" t="s">
        <v>318</v>
      </c>
      <c r="G73" s="7" t="s">
        <v>344</v>
      </c>
      <c r="H73" s="7" t="s">
        <v>377</v>
      </c>
      <c r="I73" s="8" t="n">
        <f aca="false">Part_Marks!K14</f>
        <v>1</v>
      </c>
      <c r="J73" s="8" t="n">
        <v>2</v>
      </c>
      <c r="K73" s="8" t="n">
        <f aca="false">J73-I73</f>
        <v>1</v>
      </c>
      <c r="L73" s="7" t="s">
        <v>315</v>
      </c>
    </row>
    <row r="74" customFormat="false" ht="15" hidden="false" customHeight="false" outlineLevel="0" collapsed="false">
      <c r="A74" s="7" t="s">
        <v>85</v>
      </c>
      <c r="B74" s="7" t="s">
        <v>86</v>
      </c>
      <c r="C74" s="7" t="s">
        <v>185</v>
      </c>
      <c r="D74" s="7" t="s">
        <v>325</v>
      </c>
      <c r="E74" s="7" t="s">
        <v>388</v>
      </c>
      <c r="F74" s="7" t="s">
        <v>318</v>
      </c>
      <c r="G74" s="7" t="s">
        <v>389</v>
      </c>
      <c r="H74" s="7" t="s">
        <v>390</v>
      </c>
      <c r="I74" s="8" t="n">
        <f aca="false">Part_Marks!C15</f>
        <v>3.5</v>
      </c>
      <c r="J74" s="8" t="n">
        <v>4</v>
      </c>
      <c r="K74" s="8" t="n">
        <f aca="false">J74-I74</f>
        <v>0.5</v>
      </c>
      <c r="L74" s="7" t="s">
        <v>315</v>
      </c>
    </row>
    <row r="75" customFormat="false" ht="15" hidden="false" customHeight="false" outlineLevel="0" collapsed="false">
      <c r="A75" s="7" t="s">
        <v>85</v>
      </c>
      <c r="B75" s="7" t="s">
        <v>86</v>
      </c>
      <c r="C75" s="7" t="s">
        <v>185</v>
      </c>
      <c r="D75" s="7" t="s">
        <v>316</v>
      </c>
      <c r="E75" s="7" t="s">
        <v>391</v>
      </c>
      <c r="F75" s="7" t="s">
        <v>318</v>
      </c>
      <c r="G75" s="7" t="s">
        <v>389</v>
      </c>
      <c r="H75" s="7" t="s">
        <v>392</v>
      </c>
      <c r="I75" s="8" t="n">
        <f aca="false">Part_Marks!D15</f>
        <v>2.5</v>
      </c>
      <c r="J75" s="8" t="n">
        <v>3</v>
      </c>
      <c r="K75" s="8" t="n">
        <f aca="false">J75-I75</f>
        <v>0.5</v>
      </c>
      <c r="L75" s="7" t="s">
        <v>315</v>
      </c>
    </row>
    <row r="76" customFormat="false" ht="15" hidden="false" customHeight="false" outlineLevel="0" collapsed="false">
      <c r="A76" s="7" t="s">
        <v>85</v>
      </c>
      <c r="B76" s="7" t="s">
        <v>86</v>
      </c>
      <c r="C76" s="7" t="s">
        <v>49</v>
      </c>
      <c r="D76" s="7" t="s">
        <v>316</v>
      </c>
      <c r="E76" s="7" t="s">
        <v>329</v>
      </c>
      <c r="F76" s="7" t="s">
        <v>318</v>
      </c>
      <c r="G76" s="7" t="s">
        <v>330</v>
      </c>
      <c r="H76" s="7" t="s">
        <v>351</v>
      </c>
      <c r="I76" s="8" t="n">
        <f aca="false">Part_Marks!K15</f>
        <v>1.5</v>
      </c>
      <c r="J76" s="8" t="n">
        <v>2</v>
      </c>
      <c r="K76" s="8" t="n">
        <f aca="false">J76-I76</f>
        <v>0.5</v>
      </c>
      <c r="L76" s="7" t="s">
        <v>315</v>
      </c>
    </row>
    <row r="77" customFormat="false" ht="15" hidden="false" customHeight="false" outlineLevel="0" collapsed="false">
      <c r="A77" s="7" t="s">
        <v>85</v>
      </c>
      <c r="B77" s="7" t="s">
        <v>86</v>
      </c>
      <c r="C77" s="7" t="s">
        <v>49</v>
      </c>
      <c r="D77" s="7" t="s">
        <v>310</v>
      </c>
      <c r="E77" s="7" t="s">
        <v>326</v>
      </c>
      <c r="F77" s="7" t="s">
        <v>318</v>
      </c>
      <c r="G77" s="7" t="s">
        <v>333</v>
      </c>
      <c r="H77" s="7" t="s">
        <v>387</v>
      </c>
      <c r="I77" s="8" t="n">
        <f aca="false">Part_Marks!L15</f>
        <v>2</v>
      </c>
      <c r="J77" s="8" t="n">
        <v>4</v>
      </c>
      <c r="K77" s="8" t="n">
        <f aca="false">J77-I77</f>
        <v>2</v>
      </c>
      <c r="L77" s="7" t="s">
        <v>315</v>
      </c>
    </row>
    <row r="78" customFormat="false" ht="23.85" hidden="false" customHeight="false" outlineLevel="0" collapsed="false">
      <c r="A78" s="7" t="s">
        <v>85</v>
      </c>
      <c r="B78" s="7" t="s">
        <v>86</v>
      </c>
      <c r="C78" s="7" t="s">
        <v>49</v>
      </c>
      <c r="D78" s="7" t="s">
        <v>321</v>
      </c>
      <c r="E78" s="7" t="s">
        <v>326</v>
      </c>
      <c r="F78" s="7" t="s">
        <v>318</v>
      </c>
      <c r="G78" s="7" t="s">
        <v>337</v>
      </c>
      <c r="H78" s="7" t="s">
        <v>353</v>
      </c>
      <c r="I78" s="8" t="n">
        <f aca="false">Part_Marks!M15</f>
        <v>1</v>
      </c>
      <c r="J78" s="8" t="n">
        <v>2</v>
      </c>
      <c r="K78" s="8" t="n">
        <f aca="false">J78-I78</f>
        <v>1</v>
      </c>
      <c r="L78" s="7" t="s">
        <v>315</v>
      </c>
    </row>
    <row r="79" customFormat="false" ht="15" hidden="false" customHeight="false" outlineLevel="0" collapsed="false">
      <c r="A79" s="7" t="s">
        <v>85</v>
      </c>
      <c r="B79" s="7" t="s">
        <v>86</v>
      </c>
      <c r="C79" s="7" t="s">
        <v>232</v>
      </c>
      <c r="D79" s="7" t="s">
        <v>325</v>
      </c>
      <c r="E79" s="7" t="s">
        <v>326</v>
      </c>
      <c r="F79" s="7" t="s">
        <v>318</v>
      </c>
      <c r="G79" s="7" t="s">
        <v>330</v>
      </c>
      <c r="H79" s="7" t="s">
        <v>393</v>
      </c>
      <c r="I79" s="8" t="n">
        <f aca="false">Part_Marks!N15</f>
        <v>1</v>
      </c>
      <c r="J79" s="8" t="n">
        <v>2</v>
      </c>
      <c r="K79" s="8" t="n">
        <f aca="false">J79-I79</f>
        <v>1</v>
      </c>
      <c r="L79" s="7" t="s">
        <v>315</v>
      </c>
    </row>
    <row r="80" customFormat="false" ht="23.85" hidden="false" customHeight="false" outlineLevel="0" collapsed="false">
      <c r="A80" s="7" t="s">
        <v>85</v>
      </c>
      <c r="B80" s="7" t="s">
        <v>86</v>
      </c>
      <c r="C80" s="7" t="s">
        <v>232</v>
      </c>
      <c r="D80" s="7" t="s">
        <v>316</v>
      </c>
      <c r="E80" s="7" t="s">
        <v>329</v>
      </c>
      <c r="F80" s="7" t="s">
        <v>318</v>
      </c>
      <c r="G80" s="7" t="s">
        <v>330</v>
      </c>
      <c r="H80" s="7" t="s">
        <v>339</v>
      </c>
      <c r="I80" s="8" t="n">
        <f aca="false">Part_Marks!O15</f>
        <v>1</v>
      </c>
      <c r="J80" s="8" t="n">
        <v>2</v>
      </c>
      <c r="K80" s="8" t="n">
        <f aca="false">J80-I80</f>
        <v>1</v>
      </c>
      <c r="L80" s="7" t="s">
        <v>315</v>
      </c>
    </row>
    <row r="81" customFormat="false" ht="23.85" hidden="false" customHeight="false" outlineLevel="0" collapsed="false">
      <c r="A81" s="7" t="s">
        <v>85</v>
      </c>
      <c r="B81" s="7" t="s">
        <v>86</v>
      </c>
      <c r="C81" s="7" t="s">
        <v>232</v>
      </c>
      <c r="D81" s="7" t="s">
        <v>310</v>
      </c>
      <c r="E81" s="7" t="s">
        <v>322</v>
      </c>
      <c r="F81" s="7" t="s">
        <v>318</v>
      </c>
      <c r="G81" s="7" t="s">
        <v>330</v>
      </c>
      <c r="H81" s="7" t="s">
        <v>340</v>
      </c>
      <c r="I81" s="8" t="n">
        <f aca="false">Part_Marks!P15</f>
        <v>3</v>
      </c>
      <c r="J81" s="8" t="n">
        <v>4</v>
      </c>
      <c r="K81" s="8" t="n">
        <f aca="false">J81-I81</f>
        <v>1</v>
      </c>
      <c r="L81" s="7" t="s">
        <v>315</v>
      </c>
    </row>
    <row r="82" customFormat="false" ht="23.85" hidden="false" customHeight="false" outlineLevel="0" collapsed="false">
      <c r="A82" s="7" t="s">
        <v>85</v>
      </c>
      <c r="B82" s="7" t="s">
        <v>86</v>
      </c>
      <c r="C82" s="7" t="s">
        <v>232</v>
      </c>
      <c r="D82" s="7" t="s">
        <v>321</v>
      </c>
      <c r="E82" s="7" t="s">
        <v>329</v>
      </c>
      <c r="F82" s="7" t="s">
        <v>318</v>
      </c>
      <c r="G82" s="7" t="s">
        <v>347</v>
      </c>
      <c r="H82" s="7" t="s">
        <v>372</v>
      </c>
      <c r="I82" s="8" t="n">
        <f aca="false">Part_Marks!Q15</f>
        <v>1.5</v>
      </c>
      <c r="J82" s="8" t="n">
        <v>2</v>
      </c>
      <c r="K82" s="8" t="n">
        <f aca="false">J82-I82</f>
        <v>0.5</v>
      </c>
      <c r="L82" s="7" t="s">
        <v>315</v>
      </c>
    </row>
    <row r="83" customFormat="false" ht="15" hidden="false" customHeight="false" outlineLevel="0" collapsed="false">
      <c r="A83" s="7" t="s">
        <v>85</v>
      </c>
      <c r="B83" s="7" t="s">
        <v>86</v>
      </c>
      <c r="C83" s="7" t="s">
        <v>140</v>
      </c>
      <c r="D83" s="7" t="s">
        <v>305</v>
      </c>
      <c r="E83" s="7" t="s">
        <v>306</v>
      </c>
      <c r="F83" s="7" t="s">
        <v>307</v>
      </c>
      <c r="G83" s="7" t="s">
        <v>308</v>
      </c>
      <c r="H83" s="7" t="s">
        <v>309</v>
      </c>
      <c r="I83" s="8" t="n">
        <v>0</v>
      </c>
      <c r="J83" s="8" t="n">
        <v>10</v>
      </c>
      <c r="K83" s="8" t="n">
        <f aca="false">J83-I83</f>
        <v>10</v>
      </c>
      <c r="L83" s="7" t="s">
        <v>306</v>
      </c>
    </row>
    <row r="84" customFormat="false" ht="23.85" hidden="false" customHeight="false" outlineLevel="0" collapsed="false">
      <c r="A84" s="7" t="s">
        <v>90</v>
      </c>
      <c r="B84" s="7" t="s">
        <v>91</v>
      </c>
      <c r="C84" s="7" t="s">
        <v>140</v>
      </c>
      <c r="D84" s="7" t="s">
        <v>321</v>
      </c>
      <c r="E84" s="7" t="s">
        <v>329</v>
      </c>
      <c r="F84" s="7" t="s">
        <v>318</v>
      </c>
      <c r="G84" s="7" t="s">
        <v>347</v>
      </c>
      <c r="H84" s="7" t="s">
        <v>348</v>
      </c>
      <c r="I84" s="8" t="n">
        <f aca="false">Part_Marks!I16</f>
        <v>1.5</v>
      </c>
      <c r="J84" s="8" t="n">
        <v>2</v>
      </c>
      <c r="K84" s="8" t="n">
        <f aca="false">J84-I84</f>
        <v>0.5</v>
      </c>
      <c r="L84" s="7" t="s">
        <v>315</v>
      </c>
    </row>
    <row r="85" customFormat="false" ht="15" hidden="false" customHeight="false" outlineLevel="0" collapsed="false">
      <c r="A85" s="7" t="s">
        <v>90</v>
      </c>
      <c r="B85" s="7" t="s">
        <v>91</v>
      </c>
      <c r="C85" s="7" t="s">
        <v>49</v>
      </c>
      <c r="D85" s="7" t="s">
        <v>310</v>
      </c>
      <c r="E85" s="7" t="s">
        <v>317</v>
      </c>
      <c r="F85" s="7" t="s">
        <v>318</v>
      </c>
      <c r="G85" s="7" t="s">
        <v>330</v>
      </c>
      <c r="H85" s="7" t="s">
        <v>352</v>
      </c>
      <c r="I85" s="8" t="n">
        <f aca="false">Part_Marks!L16</f>
        <v>3</v>
      </c>
      <c r="J85" s="8" t="n">
        <v>4</v>
      </c>
      <c r="K85" s="8" t="n">
        <f aca="false">J85-I85</f>
        <v>1</v>
      </c>
      <c r="L85" s="7" t="s">
        <v>315</v>
      </c>
    </row>
    <row r="86" customFormat="false" ht="15" hidden="false" customHeight="false" outlineLevel="0" collapsed="false">
      <c r="A86" s="7" t="s">
        <v>90</v>
      </c>
      <c r="B86" s="7" t="s">
        <v>91</v>
      </c>
      <c r="C86" s="7" t="s">
        <v>232</v>
      </c>
      <c r="D86" s="7" t="s">
        <v>316</v>
      </c>
      <c r="E86" s="7" t="s">
        <v>322</v>
      </c>
      <c r="F86" s="7" t="s">
        <v>318</v>
      </c>
      <c r="G86" s="7" t="s">
        <v>330</v>
      </c>
      <c r="H86" s="7" t="s">
        <v>354</v>
      </c>
      <c r="I86" s="8" t="n">
        <f aca="false">Part_Marks!O16</f>
        <v>1</v>
      </c>
      <c r="J86" s="8" t="n">
        <v>2</v>
      </c>
      <c r="K86" s="8" t="n">
        <f aca="false">J86-I86</f>
        <v>1</v>
      </c>
      <c r="L86" s="7" t="s">
        <v>315</v>
      </c>
    </row>
    <row r="87" customFormat="false" ht="15" hidden="false" customHeight="false" outlineLevel="0" collapsed="false">
      <c r="A87" s="7" t="s">
        <v>90</v>
      </c>
      <c r="B87" s="7" t="s">
        <v>91</v>
      </c>
      <c r="C87" s="7" t="s">
        <v>185</v>
      </c>
      <c r="D87" s="7" t="s">
        <v>305</v>
      </c>
      <c r="E87" s="7" t="s">
        <v>306</v>
      </c>
      <c r="F87" s="7" t="s">
        <v>307</v>
      </c>
      <c r="G87" s="7" t="s">
        <v>308</v>
      </c>
      <c r="H87" s="7" t="s">
        <v>309</v>
      </c>
      <c r="I87" s="8" t="n">
        <v>0</v>
      </c>
      <c r="J87" s="8" t="n">
        <v>10</v>
      </c>
      <c r="K87" s="8" t="n">
        <f aca="false">J87-I87</f>
        <v>10</v>
      </c>
      <c r="L87" s="7" t="s">
        <v>306</v>
      </c>
    </row>
    <row r="88" customFormat="false" ht="23.85" hidden="false" customHeight="false" outlineLevel="0" collapsed="false">
      <c r="A88" s="7" t="s">
        <v>95</v>
      </c>
      <c r="B88" s="7" t="s">
        <v>96</v>
      </c>
      <c r="C88" s="7" t="s">
        <v>49</v>
      </c>
      <c r="D88" s="7" t="s">
        <v>321</v>
      </c>
      <c r="E88" s="7" t="s">
        <v>394</v>
      </c>
      <c r="F88" s="7" t="s">
        <v>312</v>
      </c>
      <c r="G88" s="7" t="s">
        <v>313</v>
      </c>
      <c r="H88" s="7" t="s">
        <v>395</v>
      </c>
      <c r="I88" s="8" t="n">
        <f aca="false">Part_Marks!M17</f>
        <v>2</v>
      </c>
      <c r="J88" s="8" t="n">
        <v>2</v>
      </c>
      <c r="K88" s="8" t="n">
        <f aca="false">J88-I88</f>
        <v>0</v>
      </c>
      <c r="L88" s="7" t="s">
        <v>315</v>
      </c>
    </row>
    <row r="89" customFormat="false" ht="23.85" hidden="false" customHeight="false" outlineLevel="0" collapsed="false">
      <c r="A89" s="7" t="s">
        <v>95</v>
      </c>
      <c r="B89" s="7" t="s">
        <v>96</v>
      </c>
      <c r="C89" s="7" t="s">
        <v>232</v>
      </c>
      <c r="D89" s="7" t="s">
        <v>325</v>
      </c>
      <c r="E89" s="7" t="s">
        <v>322</v>
      </c>
      <c r="F89" s="7" t="s">
        <v>318</v>
      </c>
      <c r="G89" s="7" t="s">
        <v>330</v>
      </c>
      <c r="H89" s="7" t="s">
        <v>396</v>
      </c>
      <c r="I89" s="8" t="n">
        <f aca="false">Part_Marks!N17</f>
        <v>1</v>
      </c>
      <c r="J89" s="8" t="n">
        <v>2</v>
      </c>
      <c r="K89" s="8" t="n">
        <f aca="false">J89-I89</f>
        <v>1</v>
      </c>
      <c r="L89" s="7" t="s">
        <v>315</v>
      </c>
    </row>
    <row r="90" customFormat="false" ht="15" hidden="false" customHeight="false" outlineLevel="0" collapsed="false">
      <c r="A90" s="7" t="s">
        <v>95</v>
      </c>
      <c r="B90" s="7" t="s">
        <v>96</v>
      </c>
      <c r="C90" s="7" t="s">
        <v>140</v>
      </c>
      <c r="D90" s="7" t="s">
        <v>305</v>
      </c>
      <c r="E90" s="7" t="s">
        <v>306</v>
      </c>
      <c r="F90" s="7" t="s">
        <v>307</v>
      </c>
      <c r="G90" s="7" t="s">
        <v>308</v>
      </c>
      <c r="H90" s="7" t="s">
        <v>309</v>
      </c>
      <c r="I90" s="8" t="n">
        <v>0</v>
      </c>
      <c r="J90" s="8" t="n">
        <v>10</v>
      </c>
      <c r="K90" s="8" t="n">
        <f aca="false">J90-I90</f>
        <v>10</v>
      </c>
      <c r="L90" s="7" t="s">
        <v>306</v>
      </c>
    </row>
    <row r="91" customFormat="false" ht="15" hidden="false" customHeight="false" outlineLevel="0" collapsed="false">
      <c r="A91" s="7" t="s">
        <v>100</v>
      </c>
      <c r="B91" s="7" t="s">
        <v>101</v>
      </c>
      <c r="C91" s="7" t="s">
        <v>185</v>
      </c>
      <c r="D91" s="7" t="s">
        <v>316</v>
      </c>
      <c r="E91" s="7" t="s">
        <v>326</v>
      </c>
      <c r="F91" s="7" t="s">
        <v>318</v>
      </c>
      <c r="G91" s="7" t="s">
        <v>319</v>
      </c>
      <c r="H91" s="7" t="s">
        <v>343</v>
      </c>
      <c r="I91" s="8" t="n">
        <f aca="false">Part_Marks!D18</f>
        <v>1.5</v>
      </c>
      <c r="J91" s="8" t="n">
        <v>3</v>
      </c>
      <c r="K91" s="8" t="n">
        <f aca="false">J91-I91</f>
        <v>1.5</v>
      </c>
      <c r="L91" s="7" t="s">
        <v>315</v>
      </c>
    </row>
    <row r="92" customFormat="false" ht="15" hidden="false" customHeight="false" outlineLevel="0" collapsed="false">
      <c r="A92" s="7" t="s">
        <v>100</v>
      </c>
      <c r="B92" s="7" t="s">
        <v>101</v>
      </c>
      <c r="C92" s="7" t="s">
        <v>49</v>
      </c>
      <c r="D92" s="7" t="s">
        <v>316</v>
      </c>
      <c r="E92" s="7" t="s">
        <v>317</v>
      </c>
      <c r="F92" s="7" t="s">
        <v>318</v>
      </c>
      <c r="G92" s="7" t="s">
        <v>319</v>
      </c>
      <c r="H92" s="7" t="s">
        <v>320</v>
      </c>
      <c r="I92" s="8" t="n">
        <f aca="false">Part_Marks!K18</f>
        <v>1.5</v>
      </c>
      <c r="J92" s="8" t="n">
        <v>2</v>
      </c>
      <c r="K92" s="8" t="n">
        <f aca="false">J92-I92</f>
        <v>0.5</v>
      </c>
      <c r="L92" s="7" t="s">
        <v>315</v>
      </c>
    </row>
    <row r="93" customFormat="false" ht="15" hidden="false" customHeight="false" outlineLevel="0" collapsed="false">
      <c r="A93" s="7" t="s">
        <v>100</v>
      </c>
      <c r="B93" s="7" t="s">
        <v>101</v>
      </c>
      <c r="C93" s="7" t="s">
        <v>49</v>
      </c>
      <c r="D93" s="7" t="s">
        <v>310</v>
      </c>
      <c r="E93" s="7" t="s">
        <v>317</v>
      </c>
      <c r="F93" s="7" t="s">
        <v>318</v>
      </c>
      <c r="G93" s="7" t="s">
        <v>330</v>
      </c>
      <c r="H93" s="7" t="s">
        <v>352</v>
      </c>
      <c r="I93" s="8" t="n">
        <f aca="false">Part_Marks!L18</f>
        <v>3</v>
      </c>
      <c r="J93" s="8" t="n">
        <v>4</v>
      </c>
      <c r="K93" s="8" t="n">
        <f aca="false">J93-I93</f>
        <v>1</v>
      </c>
      <c r="L93" s="7" t="s">
        <v>315</v>
      </c>
    </row>
    <row r="94" customFormat="false" ht="15" hidden="false" customHeight="false" outlineLevel="0" collapsed="false">
      <c r="A94" s="7" t="s">
        <v>100</v>
      </c>
      <c r="B94" s="7" t="s">
        <v>101</v>
      </c>
      <c r="C94" s="7" t="s">
        <v>49</v>
      </c>
      <c r="D94" s="7" t="s">
        <v>321</v>
      </c>
      <c r="E94" s="7" t="s">
        <v>322</v>
      </c>
      <c r="F94" s="7" t="s">
        <v>318</v>
      </c>
      <c r="G94" s="7" t="s">
        <v>337</v>
      </c>
      <c r="H94" s="7" t="s">
        <v>379</v>
      </c>
      <c r="I94" s="8" t="n">
        <f aca="false">Part_Marks!M18</f>
        <v>0</v>
      </c>
      <c r="J94" s="8" t="n">
        <v>2</v>
      </c>
      <c r="K94" s="8" t="n">
        <f aca="false">J94-I94</f>
        <v>2</v>
      </c>
      <c r="L94" s="7" t="s">
        <v>315</v>
      </c>
    </row>
    <row r="95" customFormat="false" ht="15" hidden="false" customHeight="false" outlineLevel="0" collapsed="false">
      <c r="A95" s="7" t="s">
        <v>100</v>
      </c>
      <c r="B95" s="7" t="s">
        <v>101</v>
      </c>
      <c r="C95" s="7" t="s">
        <v>232</v>
      </c>
      <c r="D95" s="7" t="s">
        <v>325</v>
      </c>
      <c r="E95" s="7" t="s">
        <v>326</v>
      </c>
      <c r="F95" s="7" t="s">
        <v>318</v>
      </c>
      <c r="G95" s="7" t="s">
        <v>330</v>
      </c>
      <c r="H95" s="7" t="s">
        <v>393</v>
      </c>
      <c r="I95" s="8" t="n">
        <f aca="false">Part_Marks!N18</f>
        <v>1</v>
      </c>
      <c r="J95" s="8" t="n">
        <v>2</v>
      </c>
      <c r="K95" s="8" t="n">
        <f aca="false">J95-I95</f>
        <v>1</v>
      </c>
      <c r="L95" s="7" t="s">
        <v>315</v>
      </c>
    </row>
    <row r="96" customFormat="false" ht="15" hidden="false" customHeight="false" outlineLevel="0" collapsed="false">
      <c r="A96" s="7" t="s">
        <v>100</v>
      </c>
      <c r="B96" s="7" t="s">
        <v>101</v>
      </c>
      <c r="C96" s="7" t="s">
        <v>232</v>
      </c>
      <c r="D96" s="7" t="s">
        <v>310</v>
      </c>
      <c r="E96" s="7" t="s">
        <v>317</v>
      </c>
      <c r="F96" s="7" t="s">
        <v>318</v>
      </c>
      <c r="G96" s="7" t="s">
        <v>337</v>
      </c>
      <c r="H96" s="7" t="s">
        <v>397</v>
      </c>
      <c r="I96" s="8" t="n">
        <f aca="false">Part_Marks!P18</f>
        <v>2.5</v>
      </c>
      <c r="J96" s="8" t="n">
        <v>4</v>
      </c>
      <c r="K96" s="8" t="n">
        <f aca="false">J96-I96</f>
        <v>1.5</v>
      </c>
      <c r="L96" s="7" t="s">
        <v>315</v>
      </c>
    </row>
    <row r="97" customFormat="false" ht="23.85" hidden="false" customHeight="false" outlineLevel="0" collapsed="false">
      <c r="A97" s="7" t="s">
        <v>100</v>
      </c>
      <c r="B97" s="7" t="s">
        <v>101</v>
      </c>
      <c r="C97" s="7" t="s">
        <v>232</v>
      </c>
      <c r="D97" s="7" t="s">
        <v>321</v>
      </c>
      <c r="E97" s="7" t="s">
        <v>326</v>
      </c>
      <c r="F97" s="7" t="s">
        <v>318</v>
      </c>
      <c r="G97" s="7" t="s">
        <v>337</v>
      </c>
      <c r="H97" s="7" t="s">
        <v>341</v>
      </c>
      <c r="I97" s="8" t="n">
        <f aca="false">Part_Marks!Q18</f>
        <v>1</v>
      </c>
      <c r="J97" s="8" t="n">
        <v>2</v>
      </c>
      <c r="K97" s="8" t="n">
        <f aca="false">J97-I97</f>
        <v>1</v>
      </c>
      <c r="L97" s="7" t="s">
        <v>315</v>
      </c>
    </row>
    <row r="98" customFormat="false" ht="15" hidden="false" customHeight="false" outlineLevel="0" collapsed="false">
      <c r="A98" s="7" t="s">
        <v>100</v>
      </c>
      <c r="B98" s="7" t="s">
        <v>101</v>
      </c>
      <c r="C98" s="7" t="s">
        <v>140</v>
      </c>
      <c r="D98" s="7" t="s">
        <v>305</v>
      </c>
      <c r="E98" s="7" t="s">
        <v>306</v>
      </c>
      <c r="F98" s="7" t="s">
        <v>307</v>
      </c>
      <c r="G98" s="7" t="s">
        <v>308</v>
      </c>
      <c r="H98" s="7" t="s">
        <v>309</v>
      </c>
      <c r="I98" s="8" t="n">
        <v>0</v>
      </c>
      <c r="J98" s="8" t="n">
        <v>10</v>
      </c>
      <c r="K98" s="8" t="n">
        <f aca="false">J98-I98</f>
        <v>10</v>
      </c>
      <c r="L98" s="7" t="s">
        <v>306</v>
      </c>
    </row>
    <row r="99" customFormat="false" ht="23.85" hidden="false" customHeight="false" outlineLevel="0" collapsed="false">
      <c r="A99" s="7" t="s">
        <v>105</v>
      </c>
      <c r="B99" s="7" t="s">
        <v>106</v>
      </c>
      <c r="C99" s="7" t="s">
        <v>185</v>
      </c>
      <c r="D99" s="7" t="s">
        <v>325</v>
      </c>
      <c r="E99" s="7" t="s">
        <v>326</v>
      </c>
      <c r="F99" s="7" t="s">
        <v>318</v>
      </c>
      <c r="G99" s="7" t="s">
        <v>327</v>
      </c>
      <c r="H99" s="7" t="s">
        <v>328</v>
      </c>
      <c r="I99" s="8" t="n">
        <f aca="false">Part_Marks!C19</f>
        <v>2</v>
      </c>
      <c r="J99" s="8" t="n">
        <v>4</v>
      </c>
      <c r="K99" s="8" t="n">
        <f aca="false">J99-I99</f>
        <v>2</v>
      </c>
      <c r="L99" s="7" t="s">
        <v>315</v>
      </c>
    </row>
    <row r="100" customFormat="false" ht="15" hidden="false" customHeight="false" outlineLevel="0" collapsed="false">
      <c r="A100" s="7" t="s">
        <v>105</v>
      </c>
      <c r="B100" s="7" t="s">
        <v>106</v>
      </c>
      <c r="C100" s="7" t="s">
        <v>185</v>
      </c>
      <c r="D100" s="7" t="s">
        <v>316</v>
      </c>
      <c r="E100" s="7" t="s">
        <v>326</v>
      </c>
      <c r="F100" s="7" t="s">
        <v>318</v>
      </c>
      <c r="G100" s="7" t="s">
        <v>319</v>
      </c>
      <c r="H100" s="7" t="s">
        <v>343</v>
      </c>
      <c r="I100" s="8" t="n">
        <f aca="false">Part_Marks!D19</f>
        <v>1.5</v>
      </c>
      <c r="J100" s="8" t="n">
        <v>3</v>
      </c>
      <c r="K100" s="8" t="n">
        <f aca="false">J100-I100</f>
        <v>1.5</v>
      </c>
      <c r="L100" s="7" t="s">
        <v>315</v>
      </c>
    </row>
    <row r="101" customFormat="false" ht="23.85" hidden="false" customHeight="false" outlineLevel="0" collapsed="false">
      <c r="A101" s="7" t="s">
        <v>105</v>
      </c>
      <c r="B101" s="7" t="s">
        <v>106</v>
      </c>
      <c r="C101" s="7" t="s">
        <v>140</v>
      </c>
      <c r="D101" s="7" t="s">
        <v>310</v>
      </c>
      <c r="E101" s="7" t="s">
        <v>311</v>
      </c>
      <c r="F101" s="7" t="s">
        <v>312</v>
      </c>
      <c r="G101" s="7" t="s">
        <v>313</v>
      </c>
      <c r="H101" s="7" t="s">
        <v>314</v>
      </c>
      <c r="I101" s="8" t="n">
        <f aca="false">Part_Marks!H19</f>
        <v>4</v>
      </c>
      <c r="J101" s="8" t="n">
        <v>4</v>
      </c>
      <c r="K101" s="8" t="n">
        <f aca="false">J101-I101</f>
        <v>0</v>
      </c>
      <c r="L101" s="7" t="s">
        <v>315</v>
      </c>
    </row>
    <row r="102" customFormat="false" ht="15" hidden="false" customHeight="false" outlineLevel="0" collapsed="false">
      <c r="A102" s="7" t="s">
        <v>105</v>
      </c>
      <c r="B102" s="7" t="s">
        <v>106</v>
      </c>
      <c r="C102" s="7" t="s">
        <v>49</v>
      </c>
      <c r="D102" s="7" t="s">
        <v>316</v>
      </c>
      <c r="E102" s="7" t="s">
        <v>317</v>
      </c>
      <c r="F102" s="7" t="s">
        <v>318</v>
      </c>
      <c r="G102" s="7" t="s">
        <v>319</v>
      </c>
      <c r="H102" s="7" t="s">
        <v>320</v>
      </c>
      <c r="I102" s="8" t="n">
        <f aca="false">Part_Marks!K19</f>
        <v>1.5</v>
      </c>
      <c r="J102" s="8" t="n">
        <v>2</v>
      </c>
      <c r="K102" s="8" t="n">
        <f aca="false">J102-I102</f>
        <v>0.5</v>
      </c>
      <c r="L102" s="7" t="s">
        <v>315</v>
      </c>
    </row>
    <row r="103" customFormat="false" ht="15" hidden="false" customHeight="false" outlineLevel="0" collapsed="false">
      <c r="A103" s="7" t="s">
        <v>105</v>
      </c>
      <c r="B103" s="7" t="s">
        <v>106</v>
      </c>
      <c r="C103" s="7" t="s">
        <v>49</v>
      </c>
      <c r="D103" s="7" t="s">
        <v>310</v>
      </c>
      <c r="E103" s="7" t="s">
        <v>326</v>
      </c>
      <c r="F103" s="7" t="s">
        <v>318</v>
      </c>
      <c r="G103" s="7" t="s">
        <v>333</v>
      </c>
      <c r="H103" s="7" t="s">
        <v>387</v>
      </c>
      <c r="I103" s="8" t="n">
        <f aca="false">Part_Marks!L19</f>
        <v>2</v>
      </c>
      <c r="J103" s="8" t="n">
        <v>4</v>
      </c>
      <c r="K103" s="8" t="n">
        <f aca="false">J103-I103</f>
        <v>2</v>
      </c>
      <c r="L103" s="7" t="s">
        <v>315</v>
      </c>
    </row>
    <row r="104" customFormat="false" ht="15" hidden="false" customHeight="false" outlineLevel="0" collapsed="false">
      <c r="A104" s="7" t="s">
        <v>105</v>
      </c>
      <c r="B104" s="7" t="s">
        <v>106</v>
      </c>
      <c r="C104" s="7" t="s">
        <v>232</v>
      </c>
      <c r="D104" s="7" t="s">
        <v>305</v>
      </c>
      <c r="E104" s="7" t="s">
        <v>306</v>
      </c>
      <c r="F104" s="7" t="s">
        <v>307</v>
      </c>
      <c r="G104" s="7" t="s">
        <v>308</v>
      </c>
      <c r="H104" s="7" t="s">
        <v>309</v>
      </c>
      <c r="I104" s="8" t="n">
        <v>0</v>
      </c>
      <c r="J104" s="8" t="n">
        <v>10</v>
      </c>
      <c r="K104" s="8" t="n">
        <f aca="false">J104-I104</f>
        <v>10</v>
      </c>
      <c r="L104" s="7" t="s">
        <v>306</v>
      </c>
    </row>
    <row r="105" customFormat="false" ht="23.85" hidden="false" customHeight="false" outlineLevel="0" collapsed="false">
      <c r="A105" s="7" t="s">
        <v>108</v>
      </c>
      <c r="B105" s="7" t="s">
        <v>109</v>
      </c>
      <c r="C105" s="7" t="s">
        <v>185</v>
      </c>
      <c r="D105" s="7" t="s">
        <v>325</v>
      </c>
      <c r="E105" s="7" t="s">
        <v>326</v>
      </c>
      <c r="F105" s="7" t="s">
        <v>318</v>
      </c>
      <c r="G105" s="7" t="s">
        <v>327</v>
      </c>
      <c r="H105" s="7" t="s">
        <v>328</v>
      </c>
      <c r="I105" s="8" t="n">
        <f aca="false">Part_Marks!C20</f>
        <v>2</v>
      </c>
      <c r="J105" s="8" t="n">
        <v>4</v>
      </c>
      <c r="K105" s="8" t="n">
        <f aca="false">J105-I105</f>
        <v>2</v>
      </c>
      <c r="L105" s="7" t="s">
        <v>315</v>
      </c>
    </row>
    <row r="106" customFormat="false" ht="23.85" hidden="false" customHeight="false" outlineLevel="0" collapsed="false">
      <c r="A106" s="7" t="s">
        <v>108</v>
      </c>
      <c r="B106" s="7" t="s">
        <v>109</v>
      </c>
      <c r="C106" s="7" t="s">
        <v>185</v>
      </c>
      <c r="D106" s="7" t="s">
        <v>310</v>
      </c>
      <c r="E106" s="7" t="s">
        <v>322</v>
      </c>
      <c r="F106" s="7" t="s">
        <v>318</v>
      </c>
      <c r="G106" s="7" t="s">
        <v>383</v>
      </c>
      <c r="H106" s="7" t="s">
        <v>384</v>
      </c>
      <c r="I106" s="8" t="n">
        <f aca="false">Part_Marks!E20</f>
        <v>2</v>
      </c>
      <c r="J106" s="8" t="n">
        <v>3</v>
      </c>
      <c r="K106" s="8" t="n">
        <f aca="false">J106-I106</f>
        <v>1</v>
      </c>
      <c r="L106" s="7" t="s">
        <v>315</v>
      </c>
    </row>
    <row r="107" customFormat="false" ht="15" hidden="false" customHeight="false" outlineLevel="0" collapsed="false">
      <c r="A107" s="7" t="s">
        <v>108</v>
      </c>
      <c r="B107" s="7" t="s">
        <v>109</v>
      </c>
      <c r="C107" s="7" t="s">
        <v>140</v>
      </c>
      <c r="D107" s="7" t="s">
        <v>325</v>
      </c>
      <c r="E107" s="7" t="s">
        <v>329</v>
      </c>
      <c r="F107" s="7" t="s">
        <v>318</v>
      </c>
      <c r="G107" s="7" t="s">
        <v>333</v>
      </c>
      <c r="H107" s="7" t="s">
        <v>334</v>
      </c>
      <c r="I107" s="8" t="n">
        <f aca="false">Part_Marks!F20</f>
        <v>1.5</v>
      </c>
      <c r="J107" s="8" t="n">
        <v>2</v>
      </c>
      <c r="K107" s="8" t="n">
        <f aca="false">J107-I107</f>
        <v>0.5</v>
      </c>
      <c r="L107" s="7" t="s">
        <v>315</v>
      </c>
    </row>
    <row r="108" customFormat="false" ht="15" hidden="false" customHeight="false" outlineLevel="0" collapsed="false">
      <c r="A108" s="7" t="s">
        <v>108</v>
      </c>
      <c r="B108" s="7" t="s">
        <v>109</v>
      </c>
      <c r="C108" s="7" t="s">
        <v>232</v>
      </c>
      <c r="D108" s="7" t="s">
        <v>310</v>
      </c>
      <c r="E108" s="7" t="s">
        <v>317</v>
      </c>
      <c r="F108" s="7" t="s">
        <v>318</v>
      </c>
      <c r="G108" s="7" t="s">
        <v>337</v>
      </c>
      <c r="H108" s="7" t="s">
        <v>397</v>
      </c>
      <c r="I108" s="8" t="n">
        <f aca="false">Part_Marks!P20</f>
        <v>2.5</v>
      </c>
      <c r="J108" s="8" t="n">
        <v>4</v>
      </c>
      <c r="K108" s="8" t="n">
        <f aca="false">J108-I108</f>
        <v>1.5</v>
      </c>
      <c r="L108" s="7" t="s">
        <v>315</v>
      </c>
    </row>
    <row r="109" customFormat="false" ht="15" hidden="false" customHeight="false" outlineLevel="0" collapsed="false">
      <c r="A109" s="7" t="s">
        <v>108</v>
      </c>
      <c r="B109" s="7" t="s">
        <v>109</v>
      </c>
      <c r="C109" s="7" t="s">
        <v>49</v>
      </c>
      <c r="D109" s="7" t="s">
        <v>305</v>
      </c>
      <c r="E109" s="7" t="s">
        <v>306</v>
      </c>
      <c r="F109" s="7" t="s">
        <v>307</v>
      </c>
      <c r="G109" s="7" t="s">
        <v>308</v>
      </c>
      <c r="H109" s="7" t="s">
        <v>309</v>
      </c>
      <c r="I109" s="8" t="n">
        <v>0</v>
      </c>
      <c r="J109" s="8" t="n">
        <v>10</v>
      </c>
      <c r="K109" s="8" t="n">
        <f aca="false">J109-I109</f>
        <v>10</v>
      </c>
      <c r="L109" s="7" t="s">
        <v>306</v>
      </c>
    </row>
    <row r="110" customFormat="false" ht="15" hidden="false" customHeight="false" outlineLevel="0" collapsed="false">
      <c r="A110" s="7" t="s">
        <v>113</v>
      </c>
      <c r="B110" s="7" t="s">
        <v>114</v>
      </c>
      <c r="C110" s="7" t="s">
        <v>185</v>
      </c>
      <c r="D110" s="7" t="s">
        <v>325</v>
      </c>
      <c r="E110" s="7" t="s">
        <v>329</v>
      </c>
      <c r="F110" s="7" t="s">
        <v>318</v>
      </c>
      <c r="G110" s="7" t="s">
        <v>337</v>
      </c>
      <c r="H110" s="7" t="s">
        <v>342</v>
      </c>
      <c r="I110" s="8" t="n">
        <f aca="false">Part_Marks!C21</f>
        <v>2</v>
      </c>
      <c r="J110" s="8" t="n">
        <v>4</v>
      </c>
      <c r="K110" s="8" t="n">
        <f aca="false">J110-I110</f>
        <v>2</v>
      </c>
      <c r="L110" s="7" t="s">
        <v>315</v>
      </c>
    </row>
    <row r="111" customFormat="false" ht="15" hidden="false" customHeight="false" outlineLevel="0" collapsed="false">
      <c r="A111" s="7" t="s">
        <v>113</v>
      </c>
      <c r="B111" s="7" t="s">
        <v>114</v>
      </c>
      <c r="C111" s="7" t="s">
        <v>185</v>
      </c>
      <c r="D111" s="7" t="s">
        <v>316</v>
      </c>
      <c r="E111" s="7" t="s">
        <v>317</v>
      </c>
      <c r="F111" s="7" t="s">
        <v>318</v>
      </c>
      <c r="G111" s="7" t="s">
        <v>327</v>
      </c>
      <c r="H111" s="7" t="s">
        <v>398</v>
      </c>
      <c r="I111" s="8" t="n">
        <f aca="false">Part_Marks!D21</f>
        <v>2</v>
      </c>
      <c r="J111" s="8" t="n">
        <v>3</v>
      </c>
      <c r="K111" s="8" t="n">
        <f aca="false">J111-I111</f>
        <v>1</v>
      </c>
      <c r="L111" s="7" t="s">
        <v>315</v>
      </c>
    </row>
    <row r="112" customFormat="false" ht="23.85" hidden="false" customHeight="false" outlineLevel="0" collapsed="false">
      <c r="A112" s="7" t="s">
        <v>113</v>
      </c>
      <c r="B112" s="7" t="s">
        <v>114</v>
      </c>
      <c r="C112" s="7" t="s">
        <v>140</v>
      </c>
      <c r="D112" s="7" t="s">
        <v>310</v>
      </c>
      <c r="E112" s="7" t="s">
        <v>317</v>
      </c>
      <c r="F112" s="7" t="s">
        <v>318</v>
      </c>
      <c r="G112" s="7" t="s">
        <v>330</v>
      </c>
      <c r="H112" s="7" t="s">
        <v>368</v>
      </c>
      <c r="I112" s="8" t="n">
        <f aca="false">Part_Marks!H21</f>
        <v>2.5</v>
      </c>
      <c r="J112" s="8" t="n">
        <v>4</v>
      </c>
      <c r="K112" s="8" t="n">
        <f aca="false">J112-I112</f>
        <v>1.5</v>
      </c>
      <c r="L112" s="7" t="s">
        <v>315</v>
      </c>
    </row>
    <row r="113" customFormat="false" ht="23.85" hidden="false" customHeight="false" outlineLevel="0" collapsed="false">
      <c r="A113" s="7" t="s">
        <v>113</v>
      </c>
      <c r="B113" s="7" t="s">
        <v>114</v>
      </c>
      <c r="C113" s="7" t="s">
        <v>232</v>
      </c>
      <c r="D113" s="7" t="s">
        <v>321</v>
      </c>
      <c r="E113" s="7" t="s">
        <v>326</v>
      </c>
      <c r="F113" s="7" t="s">
        <v>318</v>
      </c>
      <c r="G113" s="7" t="s">
        <v>337</v>
      </c>
      <c r="H113" s="7" t="s">
        <v>341</v>
      </c>
      <c r="I113" s="8" t="n">
        <f aca="false">Part_Marks!Q21</f>
        <v>1</v>
      </c>
      <c r="J113" s="8" t="n">
        <v>2</v>
      </c>
      <c r="K113" s="8" t="n">
        <f aca="false">J113-I113</f>
        <v>1</v>
      </c>
      <c r="L113" s="7" t="s">
        <v>315</v>
      </c>
    </row>
    <row r="114" customFormat="false" ht="15" hidden="false" customHeight="false" outlineLevel="0" collapsed="false">
      <c r="A114" s="7" t="s">
        <v>113</v>
      </c>
      <c r="B114" s="7" t="s">
        <v>114</v>
      </c>
      <c r="C114" s="7" t="s">
        <v>49</v>
      </c>
      <c r="D114" s="7" t="s">
        <v>305</v>
      </c>
      <c r="E114" s="7" t="s">
        <v>306</v>
      </c>
      <c r="F114" s="7" t="s">
        <v>307</v>
      </c>
      <c r="G114" s="7" t="s">
        <v>308</v>
      </c>
      <c r="H114" s="7" t="s">
        <v>309</v>
      </c>
      <c r="I114" s="8" t="n">
        <v>0</v>
      </c>
      <c r="J114" s="8" t="n">
        <v>10</v>
      </c>
      <c r="K114" s="8" t="n">
        <f aca="false">J114-I114</f>
        <v>10</v>
      </c>
      <c r="L114" s="7" t="s">
        <v>306</v>
      </c>
    </row>
    <row r="115" customFormat="false" ht="23.85" hidden="false" customHeight="false" outlineLevel="0" collapsed="false">
      <c r="A115" s="7" t="s">
        <v>116</v>
      </c>
      <c r="B115" s="7" t="s">
        <v>117</v>
      </c>
      <c r="C115" s="7" t="s">
        <v>185</v>
      </c>
      <c r="D115" s="7" t="s">
        <v>325</v>
      </c>
      <c r="E115" s="7" t="s">
        <v>326</v>
      </c>
      <c r="F115" s="7" t="s">
        <v>318</v>
      </c>
      <c r="G115" s="7" t="s">
        <v>327</v>
      </c>
      <c r="H115" s="7" t="s">
        <v>328</v>
      </c>
      <c r="I115" s="8" t="n">
        <f aca="false">Part_Marks!C22</f>
        <v>2</v>
      </c>
      <c r="J115" s="8" t="n">
        <v>4</v>
      </c>
      <c r="K115" s="8" t="n">
        <f aca="false">J115-I115</f>
        <v>2</v>
      </c>
      <c r="L115" s="7" t="s">
        <v>315</v>
      </c>
    </row>
    <row r="116" customFormat="false" ht="15" hidden="false" customHeight="false" outlineLevel="0" collapsed="false">
      <c r="A116" s="7" t="s">
        <v>116</v>
      </c>
      <c r="B116" s="7" t="s">
        <v>117</v>
      </c>
      <c r="C116" s="7" t="s">
        <v>185</v>
      </c>
      <c r="D116" s="7" t="s">
        <v>316</v>
      </c>
      <c r="E116" s="7" t="s">
        <v>317</v>
      </c>
      <c r="F116" s="7" t="s">
        <v>318</v>
      </c>
      <c r="G116" s="7" t="s">
        <v>327</v>
      </c>
      <c r="H116" s="7" t="s">
        <v>398</v>
      </c>
      <c r="I116" s="8" t="n">
        <f aca="false">Part_Marks!D22</f>
        <v>2</v>
      </c>
      <c r="J116" s="8" t="n">
        <v>3</v>
      </c>
      <c r="K116" s="8" t="n">
        <f aca="false">J116-I116</f>
        <v>1</v>
      </c>
      <c r="L116" s="7" t="s">
        <v>315</v>
      </c>
    </row>
    <row r="117" customFormat="false" ht="23.85" hidden="false" customHeight="false" outlineLevel="0" collapsed="false">
      <c r="A117" s="7" t="s">
        <v>116</v>
      </c>
      <c r="B117" s="7" t="s">
        <v>117</v>
      </c>
      <c r="C117" s="7" t="s">
        <v>185</v>
      </c>
      <c r="D117" s="7" t="s">
        <v>310</v>
      </c>
      <c r="E117" s="7" t="s">
        <v>322</v>
      </c>
      <c r="F117" s="7" t="s">
        <v>318</v>
      </c>
      <c r="G117" s="7" t="s">
        <v>383</v>
      </c>
      <c r="H117" s="7" t="s">
        <v>384</v>
      </c>
      <c r="I117" s="8" t="n">
        <f aca="false">Part_Marks!E22</f>
        <v>2</v>
      </c>
      <c r="J117" s="8" t="n">
        <v>3</v>
      </c>
      <c r="K117" s="8" t="n">
        <f aca="false">J117-I117</f>
        <v>1</v>
      </c>
      <c r="L117" s="7" t="s">
        <v>315</v>
      </c>
    </row>
    <row r="118" customFormat="false" ht="23.85" hidden="false" customHeight="false" outlineLevel="0" collapsed="false">
      <c r="A118" s="7" t="s">
        <v>116</v>
      </c>
      <c r="B118" s="7" t="s">
        <v>117</v>
      </c>
      <c r="C118" s="7" t="s">
        <v>140</v>
      </c>
      <c r="D118" s="7" t="s">
        <v>316</v>
      </c>
      <c r="E118" s="7" t="s">
        <v>326</v>
      </c>
      <c r="F118" s="7" t="s">
        <v>318</v>
      </c>
      <c r="G118" s="7" t="s">
        <v>330</v>
      </c>
      <c r="H118" s="7" t="s">
        <v>335</v>
      </c>
      <c r="I118" s="8" t="n">
        <f aca="false">Part_Marks!G22</f>
        <v>1</v>
      </c>
      <c r="J118" s="8" t="n">
        <v>2</v>
      </c>
      <c r="K118" s="8" t="n">
        <f aca="false">J118-I118</f>
        <v>1</v>
      </c>
      <c r="L118" s="7" t="s">
        <v>315</v>
      </c>
    </row>
    <row r="119" customFormat="false" ht="23.85" hidden="false" customHeight="false" outlineLevel="0" collapsed="false">
      <c r="A119" s="7" t="s">
        <v>116</v>
      </c>
      <c r="B119" s="7" t="s">
        <v>117</v>
      </c>
      <c r="C119" s="7" t="s">
        <v>140</v>
      </c>
      <c r="D119" s="7" t="s">
        <v>310</v>
      </c>
      <c r="E119" s="7" t="s">
        <v>317</v>
      </c>
      <c r="F119" s="7" t="s">
        <v>318</v>
      </c>
      <c r="G119" s="7" t="s">
        <v>330</v>
      </c>
      <c r="H119" s="7" t="s">
        <v>368</v>
      </c>
      <c r="I119" s="8" t="n">
        <f aca="false">Part_Marks!H22</f>
        <v>2.5</v>
      </c>
      <c r="J119" s="8" t="n">
        <v>4</v>
      </c>
      <c r="K119" s="8" t="n">
        <f aca="false">J119-I119</f>
        <v>1.5</v>
      </c>
      <c r="L119" s="7" t="s">
        <v>315</v>
      </c>
    </row>
    <row r="120" customFormat="false" ht="15" hidden="false" customHeight="false" outlineLevel="0" collapsed="false">
      <c r="A120" s="7" t="s">
        <v>116</v>
      </c>
      <c r="B120" s="7" t="s">
        <v>117</v>
      </c>
      <c r="C120" s="7" t="s">
        <v>140</v>
      </c>
      <c r="D120" s="7" t="s">
        <v>321</v>
      </c>
      <c r="E120" s="7" t="s">
        <v>317</v>
      </c>
      <c r="F120" s="7" t="s">
        <v>318</v>
      </c>
      <c r="G120" s="7" t="s">
        <v>319</v>
      </c>
      <c r="H120" s="7" t="s">
        <v>399</v>
      </c>
      <c r="I120" s="8" t="n">
        <f aca="false">Part_Marks!I22</f>
        <v>1</v>
      </c>
      <c r="J120" s="8" t="n">
        <v>2</v>
      </c>
      <c r="K120" s="8" t="n">
        <f aca="false">J120-I120</f>
        <v>1</v>
      </c>
      <c r="L120" s="7" t="s">
        <v>315</v>
      </c>
    </row>
    <row r="121" customFormat="false" ht="23.85" hidden="false" customHeight="false" outlineLevel="0" collapsed="false">
      <c r="A121" s="7" t="s">
        <v>116</v>
      </c>
      <c r="B121" s="7" t="s">
        <v>117</v>
      </c>
      <c r="C121" s="7" t="s">
        <v>232</v>
      </c>
      <c r="D121" s="7" t="s">
        <v>310</v>
      </c>
      <c r="E121" s="7" t="s">
        <v>400</v>
      </c>
      <c r="F121" s="7" t="s">
        <v>318</v>
      </c>
      <c r="G121" s="7" t="s">
        <v>401</v>
      </c>
      <c r="H121" s="7" t="s">
        <v>402</v>
      </c>
      <c r="I121" s="8" t="n">
        <f aca="false">Part_Marks!P22</f>
        <v>3.5</v>
      </c>
      <c r="J121" s="8" t="n">
        <v>4</v>
      </c>
      <c r="K121" s="8" t="n">
        <f aca="false">J121-I121</f>
        <v>0.5</v>
      </c>
      <c r="L121" s="7" t="s">
        <v>315</v>
      </c>
    </row>
    <row r="122" customFormat="false" ht="15" hidden="false" customHeight="false" outlineLevel="0" collapsed="false">
      <c r="A122" s="7" t="s">
        <v>116</v>
      </c>
      <c r="B122" s="7" t="s">
        <v>117</v>
      </c>
      <c r="C122" s="7" t="s">
        <v>232</v>
      </c>
      <c r="D122" s="7" t="s">
        <v>321</v>
      </c>
      <c r="E122" s="7" t="s">
        <v>317</v>
      </c>
      <c r="F122" s="7" t="s">
        <v>318</v>
      </c>
      <c r="G122" s="7" t="s">
        <v>347</v>
      </c>
      <c r="H122" s="7" t="s">
        <v>355</v>
      </c>
      <c r="I122" s="8" t="n">
        <f aca="false">Part_Marks!Q22</f>
        <v>1</v>
      </c>
      <c r="J122" s="8" t="n">
        <v>2</v>
      </c>
      <c r="K122" s="8" t="n">
        <f aca="false">J122-I122</f>
        <v>1</v>
      </c>
      <c r="L122" s="7" t="s">
        <v>315</v>
      </c>
    </row>
    <row r="123" customFormat="false" ht="15" hidden="false" customHeight="false" outlineLevel="0" collapsed="false">
      <c r="A123" s="7" t="s">
        <v>116</v>
      </c>
      <c r="B123" s="7" t="s">
        <v>117</v>
      </c>
      <c r="C123" s="7" t="s">
        <v>49</v>
      </c>
      <c r="D123" s="7" t="s">
        <v>305</v>
      </c>
      <c r="E123" s="7" t="s">
        <v>306</v>
      </c>
      <c r="F123" s="7" t="s">
        <v>307</v>
      </c>
      <c r="G123" s="7" t="s">
        <v>308</v>
      </c>
      <c r="H123" s="7" t="s">
        <v>309</v>
      </c>
      <c r="I123" s="8" t="n">
        <v>0</v>
      </c>
      <c r="J123" s="8" t="n">
        <v>10</v>
      </c>
      <c r="K123" s="8" t="n">
        <f aca="false">J123-I123</f>
        <v>10</v>
      </c>
      <c r="L123" s="7" t="s">
        <v>306</v>
      </c>
    </row>
    <row r="124" customFormat="false" ht="15" hidden="false" customHeight="false" outlineLevel="0" collapsed="false">
      <c r="A124" s="7" t="s">
        <v>119</v>
      </c>
      <c r="B124" s="7" t="s">
        <v>120</v>
      </c>
      <c r="C124" s="7" t="s">
        <v>185</v>
      </c>
      <c r="D124" s="7" t="s">
        <v>325</v>
      </c>
      <c r="E124" s="7" t="s">
        <v>329</v>
      </c>
      <c r="F124" s="7" t="s">
        <v>318</v>
      </c>
      <c r="G124" s="7" t="s">
        <v>337</v>
      </c>
      <c r="H124" s="7" t="s">
        <v>342</v>
      </c>
      <c r="I124" s="8" t="n">
        <f aca="false">Part_Marks!C23</f>
        <v>2</v>
      </c>
      <c r="J124" s="8" t="n">
        <v>4</v>
      </c>
      <c r="K124" s="8" t="n">
        <f aca="false">J124-I124</f>
        <v>2</v>
      </c>
      <c r="L124" s="7" t="s">
        <v>315</v>
      </c>
    </row>
    <row r="125" customFormat="false" ht="23.85" hidden="false" customHeight="false" outlineLevel="0" collapsed="false">
      <c r="A125" s="7" t="s">
        <v>119</v>
      </c>
      <c r="B125" s="7" t="s">
        <v>120</v>
      </c>
      <c r="C125" s="7" t="s">
        <v>185</v>
      </c>
      <c r="D125" s="7" t="s">
        <v>310</v>
      </c>
      <c r="E125" s="7" t="s">
        <v>326</v>
      </c>
      <c r="F125" s="7" t="s">
        <v>318</v>
      </c>
      <c r="G125" s="7" t="s">
        <v>344</v>
      </c>
      <c r="H125" s="7" t="s">
        <v>345</v>
      </c>
      <c r="I125" s="8" t="n">
        <f aca="false">Part_Marks!E23</f>
        <v>0</v>
      </c>
      <c r="J125" s="8" t="n">
        <v>3</v>
      </c>
      <c r="K125" s="8" t="n">
        <f aca="false">J125-I125</f>
        <v>3</v>
      </c>
      <c r="L125" s="7" t="s">
        <v>315</v>
      </c>
    </row>
    <row r="126" customFormat="false" ht="15" hidden="false" customHeight="false" outlineLevel="0" collapsed="false">
      <c r="A126" s="7" t="s">
        <v>119</v>
      </c>
      <c r="B126" s="7" t="s">
        <v>120</v>
      </c>
      <c r="C126" s="7" t="s">
        <v>140</v>
      </c>
      <c r="D126" s="7" t="s">
        <v>325</v>
      </c>
      <c r="E126" s="7" t="s">
        <v>322</v>
      </c>
      <c r="F126" s="7" t="s">
        <v>318</v>
      </c>
      <c r="G126" s="7" t="s">
        <v>337</v>
      </c>
      <c r="H126" s="7" t="s">
        <v>373</v>
      </c>
      <c r="I126" s="8" t="n">
        <f aca="false">Part_Marks!F23</f>
        <v>1</v>
      </c>
      <c r="J126" s="8" t="n">
        <v>2</v>
      </c>
      <c r="K126" s="8" t="n">
        <f aca="false">J126-I126</f>
        <v>1</v>
      </c>
      <c r="L126" s="7" t="s">
        <v>315</v>
      </c>
    </row>
    <row r="127" customFormat="false" ht="15" hidden="false" customHeight="false" outlineLevel="0" collapsed="false">
      <c r="A127" s="7" t="s">
        <v>119</v>
      </c>
      <c r="B127" s="7" t="s">
        <v>120</v>
      </c>
      <c r="C127" s="7" t="s">
        <v>140</v>
      </c>
      <c r="D127" s="7" t="s">
        <v>316</v>
      </c>
      <c r="E127" s="7" t="s">
        <v>329</v>
      </c>
      <c r="F127" s="7" t="s">
        <v>318</v>
      </c>
      <c r="G127" s="7" t="s">
        <v>337</v>
      </c>
      <c r="H127" s="7" t="s">
        <v>403</v>
      </c>
      <c r="I127" s="8" t="n">
        <f aca="false">Part_Marks!G23</f>
        <v>1</v>
      </c>
      <c r="J127" s="8" t="n">
        <v>2</v>
      </c>
      <c r="K127" s="8" t="n">
        <f aca="false">J127-I127</f>
        <v>1</v>
      </c>
      <c r="L127" s="7" t="s">
        <v>315</v>
      </c>
    </row>
    <row r="128" customFormat="false" ht="23.85" hidden="false" customHeight="false" outlineLevel="0" collapsed="false">
      <c r="A128" s="7" t="s">
        <v>119</v>
      </c>
      <c r="B128" s="7" t="s">
        <v>120</v>
      </c>
      <c r="C128" s="7" t="s">
        <v>140</v>
      </c>
      <c r="D128" s="7" t="s">
        <v>310</v>
      </c>
      <c r="E128" s="7" t="s">
        <v>329</v>
      </c>
      <c r="F128" s="7" t="s">
        <v>318</v>
      </c>
      <c r="G128" s="7" t="s">
        <v>327</v>
      </c>
      <c r="H128" s="7" t="s">
        <v>336</v>
      </c>
      <c r="I128" s="8" t="n">
        <f aca="false">Part_Marks!H23</f>
        <v>2</v>
      </c>
      <c r="J128" s="8" t="n">
        <v>4</v>
      </c>
      <c r="K128" s="8" t="n">
        <f aca="false">J128-I128</f>
        <v>2</v>
      </c>
      <c r="L128" s="7" t="s">
        <v>315</v>
      </c>
    </row>
    <row r="129" customFormat="false" ht="15" hidden="false" customHeight="false" outlineLevel="0" collapsed="false">
      <c r="A129" s="7" t="s">
        <v>119</v>
      </c>
      <c r="B129" s="7" t="s">
        <v>120</v>
      </c>
      <c r="C129" s="7" t="s">
        <v>140</v>
      </c>
      <c r="D129" s="7" t="s">
        <v>321</v>
      </c>
      <c r="E129" s="7" t="s">
        <v>326</v>
      </c>
      <c r="F129" s="7" t="s">
        <v>318</v>
      </c>
      <c r="G129" s="7" t="s">
        <v>337</v>
      </c>
      <c r="H129" s="7" t="s">
        <v>338</v>
      </c>
      <c r="I129" s="8" t="n">
        <f aca="false">Part_Marks!I23</f>
        <v>1</v>
      </c>
      <c r="J129" s="8" t="n">
        <v>2</v>
      </c>
      <c r="K129" s="8" t="n">
        <f aca="false">J129-I129</f>
        <v>1</v>
      </c>
      <c r="L129" s="7" t="s">
        <v>315</v>
      </c>
    </row>
    <row r="130" customFormat="false" ht="15" hidden="false" customHeight="false" outlineLevel="0" collapsed="false">
      <c r="A130" s="7" t="s">
        <v>119</v>
      </c>
      <c r="B130" s="7" t="s">
        <v>120</v>
      </c>
      <c r="C130" s="7" t="s">
        <v>49</v>
      </c>
      <c r="D130" s="7" t="s">
        <v>316</v>
      </c>
      <c r="E130" s="7" t="s">
        <v>329</v>
      </c>
      <c r="F130" s="7" t="s">
        <v>318</v>
      </c>
      <c r="G130" s="7" t="s">
        <v>330</v>
      </c>
      <c r="H130" s="7" t="s">
        <v>351</v>
      </c>
      <c r="I130" s="8" t="n">
        <f aca="false">Part_Marks!K23</f>
        <v>1.5</v>
      </c>
      <c r="J130" s="8" t="n">
        <v>2</v>
      </c>
      <c r="K130" s="8" t="n">
        <f aca="false">J130-I130</f>
        <v>0.5</v>
      </c>
      <c r="L130" s="7" t="s">
        <v>315</v>
      </c>
    </row>
    <row r="131" customFormat="false" ht="15" hidden="false" customHeight="false" outlineLevel="0" collapsed="false">
      <c r="A131" s="7" t="s">
        <v>119</v>
      </c>
      <c r="B131" s="7" t="s">
        <v>120</v>
      </c>
      <c r="C131" s="7" t="s">
        <v>49</v>
      </c>
      <c r="D131" s="7" t="s">
        <v>310</v>
      </c>
      <c r="E131" s="7" t="s">
        <v>326</v>
      </c>
      <c r="F131" s="7" t="s">
        <v>318</v>
      </c>
      <c r="G131" s="7" t="s">
        <v>333</v>
      </c>
      <c r="H131" s="7" t="s">
        <v>387</v>
      </c>
      <c r="I131" s="8" t="n">
        <f aca="false">Part_Marks!L23</f>
        <v>2</v>
      </c>
      <c r="J131" s="8" t="n">
        <v>4</v>
      </c>
      <c r="K131" s="8" t="n">
        <f aca="false">J131-I131</f>
        <v>2</v>
      </c>
      <c r="L131" s="7" t="s">
        <v>315</v>
      </c>
    </row>
    <row r="132" customFormat="false" ht="23.85" hidden="false" customHeight="false" outlineLevel="0" collapsed="false">
      <c r="A132" s="7" t="s">
        <v>119</v>
      </c>
      <c r="B132" s="7" t="s">
        <v>120</v>
      </c>
      <c r="C132" s="7" t="s">
        <v>49</v>
      </c>
      <c r="D132" s="7" t="s">
        <v>321</v>
      </c>
      <c r="E132" s="7" t="s">
        <v>326</v>
      </c>
      <c r="F132" s="7" t="s">
        <v>318</v>
      </c>
      <c r="G132" s="7" t="s">
        <v>337</v>
      </c>
      <c r="H132" s="7" t="s">
        <v>353</v>
      </c>
      <c r="I132" s="8" t="n">
        <f aca="false">Part_Marks!M23</f>
        <v>1</v>
      </c>
      <c r="J132" s="8" t="n">
        <v>2</v>
      </c>
      <c r="K132" s="8" t="n">
        <f aca="false">J132-I132</f>
        <v>1</v>
      </c>
      <c r="L132" s="7" t="s">
        <v>315</v>
      </c>
    </row>
    <row r="133" customFormat="false" ht="15" hidden="false" customHeight="false" outlineLevel="0" collapsed="false">
      <c r="A133" s="7" t="s">
        <v>119</v>
      </c>
      <c r="B133" s="7" t="s">
        <v>120</v>
      </c>
      <c r="C133" s="7" t="s">
        <v>232</v>
      </c>
      <c r="D133" s="7" t="s">
        <v>305</v>
      </c>
      <c r="E133" s="7" t="s">
        <v>306</v>
      </c>
      <c r="F133" s="7" t="s">
        <v>307</v>
      </c>
      <c r="G133" s="7" t="s">
        <v>308</v>
      </c>
      <c r="H133" s="7" t="s">
        <v>309</v>
      </c>
      <c r="I133" s="8" t="n">
        <v>0</v>
      </c>
      <c r="J133" s="8" t="n">
        <v>10</v>
      </c>
      <c r="K133" s="8" t="n">
        <f aca="false">J133-I133</f>
        <v>10</v>
      </c>
      <c r="L133" s="7" t="s">
        <v>306</v>
      </c>
    </row>
    <row r="134" customFormat="false" ht="23.85" hidden="false" customHeight="false" outlineLevel="0" collapsed="false">
      <c r="A134" s="7" t="s">
        <v>123</v>
      </c>
      <c r="B134" s="7" t="s">
        <v>124</v>
      </c>
      <c r="C134" s="7" t="s">
        <v>185</v>
      </c>
      <c r="D134" s="7" t="s">
        <v>325</v>
      </c>
      <c r="E134" s="7" t="s">
        <v>326</v>
      </c>
      <c r="F134" s="7" t="s">
        <v>318</v>
      </c>
      <c r="G134" s="7" t="s">
        <v>327</v>
      </c>
      <c r="H134" s="7" t="s">
        <v>328</v>
      </c>
      <c r="I134" s="8" t="n">
        <f aca="false">Part_Marks!C24</f>
        <v>2</v>
      </c>
      <c r="J134" s="8" t="n">
        <v>4</v>
      </c>
      <c r="K134" s="8" t="n">
        <f aca="false">J134-I134</f>
        <v>2</v>
      </c>
      <c r="L134" s="7" t="s">
        <v>315</v>
      </c>
    </row>
    <row r="135" customFormat="false" ht="15" hidden="false" customHeight="false" outlineLevel="0" collapsed="false">
      <c r="A135" s="7" t="s">
        <v>123</v>
      </c>
      <c r="B135" s="7" t="s">
        <v>124</v>
      </c>
      <c r="C135" s="7" t="s">
        <v>185</v>
      </c>
      <c r="D135" s="7" t="s">
        <v>316</v>
      </c>
      <c r="E135" s="7" t="s">
        <v>326</v>
      </c>
      <c r="F135" s="7" t="s">
        <v>318</v>
      </c>
      <c r="G135" s="7" t="s">
        <v>319</v>
      </c>
      <c r="H135" s="7" t="s">
        <v>343</v>
      </c>
      <c r="I135" s="8" t="n">
        <f aca="false">Part_Marks!D24</f>
        <v>1.5</v>
      </c>
      <c r="J135" s="8" t="n">
        <v>3</v>
      </c>
      <c r="K135" s="8" t="n">
        <f aca="false">J135-I135</f>
        <v>1.5</v>
      </c>
      <c r="L135" s="7" t="s">
        <v>315</v>
      </c>
    </row>
    <row r="136" customFormat="false" ht="23.85" hidden="false" customHeight="false" outlineLevel="0" collapsed="false">
      <c r="A136" s="7" t="s">
        <v>123</v>
      </c>
      <c r="B136" s="7" t="s">
        <v>124</v>
      </c>
      <c r="C136" s="7" t="s">
        <v>140</v>
      </c>
      <c r="D136" s="7" t="s">
        <v>325</v>
      </c>
      <c r="E136" s="7" t="s">
        <v>317</v>
      </c>
      <c r="F136" s="7" t="s">
        <v>318</v>
      </c>
      <c r="G136" s="7" t="s">
        <v>333</v>
      </c>
      <c r="H136" s="7" t="s">
        <v>404</v>
      </c>
      <c r="I136" s="8" t="n">
        <f aca="false">Part_Marks!F24</f>
        <v>1.5</v>
      </c>
      <c r="J136" s="8" t="n">
        <v>2</v>
      </c>
      <c r="K136" s="8" t="n">
        <f aca="false">J136-I136</f>
        <v>0.5</v>
      </c>
      <c r="L136" s="7" t="s">
        <v>315</v>
      </c>
    </row>
    <row r="137" customFormat="false" ht="23.85" hidden="false" customHeight="false" outlineLevel="0" collapsed="false">
      <c r="A137" s="7" t="s">
        <v>123</v>
      </c>
      <c r="B137" s="7" t="s">
        <v>124</v>
      </c>
      <c r="C137" s="7" t="s">
        <v>140</v>
      </c>
      <c r="D137" s="7" t="s">
        <v>316</v>
      </c>
      <c r="E137" s="7" t="s">
        <v>326</v>
      </c>
      <c r="F137" s="7" t="s">
        <v>318</v>
      </c>
      <c r="G137" s="7" t="s">
        <v>330</v>
      </c>
      <c r="H137" s="7" t="s">
        <v>335</v>
      </c>
      <c r="I137" s="8" t="n">
        <f aca="false">Part_Marks!G24</f>
        <v>1</v>
      </c>
      <c r="J137" s="8" t="n">
        <v>2</v>
      </c>
      <c r="K137" s="8" t="n">
        <f aca="false">J137-I137</f>
        <v>1</v>
      </c>
      <c r="L137" s="7" t="s">
        <v>315</v>
      </c>
    </row>
    <row r="138" customFormat="false" ht="23.85" hidden="false" customHeight="false" outlineLevel="0" collapsed="false">
      <c r="A138" s="7" t="s">
        <v>123</v>
      </c>
      <c r="B138" s="7" t="s">
        <v>124</v>
      </c>
      <c r="C138" s="7" t="s">
        <v>140</v>
      </c>
      <c r="D138" s="7" t="s">
        <v>310</v>
      </c>
      <c r="E138" s="7" t="s">
        <v>322</v>
      </c>
      <c r="F138" s="7" t="s">
        <v>318</v>
      </c>
      <c r="G138" s="7" t="s">
        <v>337</v>
      </c>
      <c r="H138" s="7" t="s">
        <v>374</v>
      </c>
      <c r="I138" s="8" t="n">
        <f aca="false">Part_Marks!H24</f>
        <v>0.5</v>
      </c>
      <c r="J138" s="8" t="n">
        <v>4</v>
      </c>
      <c r="K138" s="8" t="n">
        <f aca="false">J138-I138</f>
        <v>3.5</v>
      </c>
      <c r="L138" s="7" t="s">
        <v>315</v>
      </c>
    </row>
    <row r="139" customFormat="false" ht="15" hidden="false" customHeight="false" outlineLevel="0" collapsed="false">
      <c r="A139" s="7" t="s">
        <v>123</v>
      </c>
      <c r="B139" s="7" t="s">
        <v>124</v>
      </c>
      <c r="C139" s="7" t="s">
        <v>140</v>
      </c>
      <c r="D139" s="7" t="s">
        <v>321</v>
      </c>
      <c r="E139" s="7" t="s">
        <v>317</v>
      </c>
      <c r="F139" s="7" t="s">
        <v>318</v>
      </c>
      <c r="G139" s="7" t="s">
        <v>319</v>
      </c>
      <c r="H139" s="7" t="s">
        <v>399</v>
      </c>
      <c r="I139" s="8" t="n">
        <f aca="false">Part_Marks!I24</f>
        <v>1</v>
      </c>
      <c r="J139" s="8" t="n">
        <v>2</v>
      </c>
      <c r="K139" s="8" t="n">
        <f aca="false">J139-I139</f>
        <v>1</v>
      </c>
      <c r="L139" s="7" t="s">
        <v>315</v>
      </c>
    </row>
    <row r="140" customFormat="false" ht="23.85" hidden="false" customHeight="false" outlineLevel="0" collapsed="false">
      <c r="A140" s="7" t="s">
        <v>123</v>
      </c>
      <c r="B140" s="7" t="s">
        <v>124</v>
      </c>
      <c r="C140" s="7" t="s">
        <v>232</v>
      </c>
      <c r="D140" s="7" t="s">
        <v>325</v>
      </c>
      <c r="E140" s="7" t="s">
        <v>329</v>
      </c>
      <c r="F140" s="7" t="s">
        <v>318</v>
      </c>
      <c r="G140" s="7" t="s">
        <v>337</v>
      </c>
      <c r="H140" s="7" t="s">
        <v>380</v>
      </c>
      <c r="I140" s="8" t="n">
        <f aca="false">Part_Marks!N24</f>
        <v>0.5</v>
      </c>
      <c r="J140" s="8" t="n">
        <v>2</v>
      </c>
      <c r="K140" s="8" t="n">
        <f aca="false">J140-I140</f>
        <v>1.5</v>
      </c>
      <c r="L140" s="7" t="s">
        <v>315</v>
      </c>
    </row>
    <row r="141" customFormat="false" ht="23.85" hidden="false" customHeight="false" outlineLevel="0" collapsed="false">
      <c r="A141" s="7" t="s">
        <v>123</v>
      </c>
      <c r="B141" s="7" t="s">
        <v>124</v>
      </c>
      <c r="C141" s="7" t="s">
        <v>232</v>
      </c>
      <c r="D141" s="7" t="s">
        <v>316</v>
      </c>
      <c r="E141" s="7" t="s">
        <v>326</v>
      </c>
      <c r="F141" s="7" t="s">
        <v>318</v>
      </c>
      <c r="G141" s="7" t="s">
        <v>337</v>
      </c>
      <c r="H141" s="7" t="s">
        <v>381</v>
      </c>
      <c r="I141" s="8" t="n">
        <f aca="false">Part_Marks!O24</f>
        <v>0</v>
      </c>
      <c r="J141" s="8" t="n">
        <v>2</v>
      </c>
      <c r="K141" s="8" t="n">
        <f aca="false">J141-I141</f>
        <v>2</v>
      </c>
      <c r="L141" s="7" t="s">
        <v>315</v>
      </c>
    </row>
    <row r="142" customFormat="false" ht="23.85" hidden="false" customHeight="false" outlineLevel="0" collapsed="false">
      <c r="A142" s="7" t="s">
        <v>123</v>
      </c>
      <c r="B142" s="7" t="s">
        <v>124</v>
      </c>
      <c r="C142" s="7" t="s">
        <v>232</v>
      </c>
      <c r="D142" s="7" t="s">
        <v>310</v>
      </c>
      <c r="E142" s="7" t="s">
        <v>400</v>
      </c>
      <c r="F142" s="7" t="s">
        <v>318</v>
      </c>
      <c r="G142" s="7" t="s">
        <v>401</v>
      </c>
      <c r="H142" s="7" t="s">
        <v>402</v>
      </c>
      <c r="I142" s="8" t="n">
        <f aca="false">Part_Marks!P24</f>
        <v>3.5</v>
      </c>
      <c r="J142" s="8" t="n">
        <v>4</v>
      </c>
      <c r="K142" s="8" t="n">
        <f aca="false">J142-I142</f>
        <v>0.5</v>
      </c>
      <c r="L142" s="7" t="s">
        <v>315</v>
      </c>
    </row>
    <row r="143" customFormat="false" ht="15" hidden="false" customHeight="false" outlineLevel="0" collapsed="false">
      <c r="A143" s="7" t="s">
        <v>123</v>
      </c>
      <c r="B143" s="7" t="s">
        <v>124</v>
      </c>
      <c r="C143" s="7" t="s">
        <v>49</v>
      </c>
      <c r="D143" s="7" t="s">
        <v>305</v>
      </c>
      <c r="E143" s="7" t="s">
        <v>306</v>
      </c>
      <c r="F143" s="7" t="s">
        <v>307</v>
      </c>
      <c r="G143" s="7" t="s">
        <v>308</v>
      </c>
      <c r="H143" s="7" t="s">
        <v>309</v>
      </c>
      <c r="I143" s="8" t="n">
        <v>0</v>
      </c>
      <c r="J143" s="8" t="n">
        <v>10</v>
      </c>
      <c r="K143" s="8" t="n">
        <f aca="false">J143-I143</f>
        <v>10</v>
      </c>
      <c r="L143" s="7" t="s">
        <v>306</v>
      </c>
    </row>
    <row r="144" customFormat="false" ht="15" hidden="false" customHeight="false" outlineLevel="0" collapsed="false">
      <c r="A144" s="7" t="s">
        <v>126</v>
      </c>
      <c r="B144" s="7" t="s">
        <v>127</v>
      </c>
      <c r="C144" s="7" t="s">
        <v>140</v>
      </c>
      <c r="D144" s="7" t="s">
        <v>325</v>
      </c>
      <c r="E144" s="7" t="s">
        <v>322</v>
      </c>
      <c r="F144" s="7" t="s">
        <v>318</v>
      </c>
      <c r="G144" s="7" t="s">
        <v>337</v>
      </c>
      <c r="H144" s="7" t="s">
        <v>373</v>
      </c>
      <c r="I144" s="8" t="n">
        <f aca="false">Part_Marks!F25</f>
        <v>1</v>
      </c>
      <c r="J144" s="8" t="n">
        <v>2</v>
      </c>
      <c r="K144" s="8" t="n">
        <f aca="false">J144-I144</f>
        <v>1</v>
      </c>
      <c r="L144" s="7" t="s">
        <v>315</v>
      </c>
    </row>
    <row r="145" customFormat="false" ht="23.85" hidden="false" customHeight="false" outlineLevel="0" collapsed="false">
      <c r="A145" s="7" t="s">
        <v>126</v>
      </c>
      <c r="B145" s="7" t="s">
        <v>127</v>
      </c>
      <c r="C145" s="7" t="s">
        <v>140</v>
      </c>
      <c r="D145" s="7" t="s">
        <v>316</v>
      </c>
      <c r="E145" s="7" t="s">
        <v>326</v>
      </c>
      <c r="F145" s="7" t="s">
        <v>318</v>
      </c>
      <c r="G145" s="7" t="s">
        <v>330</v>
      </c>
      <c r="H145" s="7" t="s">
        <v>335</v>
      </c>
      <c r="I145" s="8" t="n">
        <f aca="false">Part_Marks!G25</f>
        <v>1</v>
      </c>
      <c r="J145" s="8" t="n">
        <v>2</v>
      </c>
      <c r="K145" s="8" t="n">
        <f aca="false">J145-I145</f>
        <v>1</v>
      </c>
      <c r="L145" s="7" t="s">
        <v>315</v>
      </c>
    </row>
    <row r="146" customFormat="false" ht="23.85" hidden="false" customHeight="false" outlineLevel="0" collapsed="false">
      <c r="A146" s="7" t="s">
        <v>126</v>
      </c>
      <c r="B146" s="7" t="s">
        <v>127</v>
      </c>
      <c r="C146" s="7" t="s">
        <v>140</v>
      </c>
      <c r="D146" s="7" t="s">
        <v>310</v>
      </c>
      <c r="E146" s="7" t="s">
        <v>322</v>
      </c>
      <c r="F146" s="7" t="s">
        <v>318</v>
      </c>
      <c r="G146" s="7" t="s">
        <v>337</v>
      </c>
      <c r="H146" s="7" t="s">
        <v>374</v>
      </c>
      <c r="I146" s="8" t="n">
        <f aca="false">Part_Marks!H25</f>
        <v>0.5</v>
      </c>
      <c r="J146" s="8" t="n">
        <v>4</v>
      </c>
      <c r="K146" s="8" t="n">
        <f aca="false">J146-I146</f>
        <v>3.5</v>
      </c>
      <c r="L146" s="7" t="s">
        <v>315</v>
      </c>
    </row>
    <row r="147" customFormat="false" ht="23.85" hidden="false" customHeight="false" outlineLevel="0" collapsed="false">
      <c r="A147" s="7" t="s">
        <v>126</v>
      </c>
      <c r="B147" s="7" t="s">
        <v>127</v>
      </c>
      <c r="C147" s="7" t="s">
        <v>140</v>
      </c>
      <c r="D147" s="7" t="s">
        <v>321</v>
      </c>
      <c r="E147" s="7" t="s">
        <v>329</v>
      </c>
      <c r="F147" s="7" t="s">
        <v>318</v>
      </c>
      <c r="G147" s="7" t="s">
        <v>347</v>
      </c>
      <c r="H147" s="7" t="s">
        <v>348</v>
      </c>
      <c r="I147" s="8" t="n">
        <f aca="false">Part_Marks!I25</f>
        <v>1.5</v>
      </c>
      <c r="J147" s="8" t="n">
        <v>2</v>
      </c>
      <c r="K147" s="8" t="n">
        <f aca="false">J147-I147</f>
        <v>0.5</v>
      </c>
      <c r="L147" s="7" t="s">
        <v>315</v>
      </c>
    </row>
    <row r="148" customFormat="false" ht="15" hidden="false" customHeight="false" outlineLevel="0" collapsed="false">
      <c r="A148" s="7" t="s">
        <v>126</v>
      </c>
      <c r="B148" s="7" t="s">
        <v>127</v>
      </c>
      <c r="C148" s="7" t="s">
        <v>49</v>
      </c>
      <c r="D148" s="7" t="s">
        <v>325</v>
      </c>
      <c r="E148" s="7" t="s">
        <v>329</v>
      </c>
      <c r="F148" s="7" t="s">
        <v>318</v>
      </c>
      <c r="G148" s="7" t="s">
        <v>319</v>
      </c>
      <c r="H148" s="7" t="s">
        <v>385</v>
      </c>
      <c r="I148" s="8" t="n">
        <f aca="false">Part_Marks!J25</f>
        <v>1</v>
      </c>
      <c r="J148" s="8" t="n">
        <v>2</v>
      </c>
      <c r="K148" s="8" t="n">
        <f aca="false">J148-I148</f>
        <v>1</v>
      </c>
      <c r="L148" s="7" t="s">
        <v>315</v>
      </c>
    </row>
    <row r="149" customFormat="false" ht="15" hidden="false" customHeight="false" outlineLevel="0" collapsed="false">
      <c r="A149" s="7" t="s">
        <v>126</v>
      </c>
      <c r="B149" s="7" t="s">
        <v>127</v>
      </c>
      <c r="C149" s="7" t="s">
        <v>49</v>
      </c>
      <c r="D149" s="7" t="s">
        <v>316</v>
      </c>
      <c r="E149" s="7" t="s">
        <v>358</v>
      </c>
      <c r="F149" s="7" t="s">
        <v>318</v>
      </c>
      <c r="G149" s="7" t="s">
        <v>359</v>
      </c>
      <c r="H149" s="7" t="s">
        <v>362</v>
      </c>
      <c r="I149" s="8" t="n">
        <f aca="false">Part_Marks!K25</f>
        <v>0</v>
      </c>
      <c r="J149" s="8" t="n">
        <v>2</v>
      </c>
      <c r="K149" s="8" t="n">
        <f aca="false">J149-I149</f>
        <v>2</v>
      </c>
      <c r="L149" s="7" t="s">
        <v>315</v>
      </c>
    </row>
    <row r="150" customFormat="false" ht="15" hidden="false" customHeight="false" outlineLevel="0" collapsed="false">
      <c r="A150" s="7" t="s">
        <v>126</v>
      </c>
      <c r="B150" s="7" t="s">
        <v>127</v>
      </c>
      <c r="C150" s="7" t="s">
        <v>232</v>
      </c>
      <c r="D150" s="7" t="s">
        <v>325</v>
      </c>
      <c r="E150" s="7" t="s">
        <v>358</v>
      </c>
      <c r="F150" s="7" t="s">
        <v>318</v>
      </c>
      <c r="G150" s="7" t="s">
        <v>359</v>
      </c>
      <c r="H150" s="7" t="s">
        <v>364</v>
      </c>
      <c r="I150" s="8" t="n">
        <f aca="false">Part_Marks!N25</f>
        <v>0</v>
      </c>
      <c r="J150" s="8" t="n">
        <v>2</v>
      </c>
      <c r="K150" s="8" t="n">
        <f aca="false">J150-I150</f>
        <v>2</v>
      </c>
      <c r="L150" s="7" t="s">
        <v>315</v>
      </c>
    </row>
    <row r="151" customFormat="false" ht="15" hidden="false" customHeight="false" outlineLevel="0" collapsed="false">
      <c r="A151" s="7" t="s">
        <v>126</v>
      </c>
      <c r="B151" s="7" t="s">
        <v>127</v>
      </c>
      <c r="C151" s="7" t="s">
        <v>232</v>
      </c>
      <c r="D151" s="7" t="s">
        <v>321</v>
      </c>
      <c r="E151" s="7" t="s">
        <v>317</v>
      </c>
      <c r="F151" s="7" t="s">
        <v>318</v>
      </c>
      <c r="G151" s="7" t="s">
        <v>347</v>
      </c>
      <c r="H151" s="7" t="s">
        <v>355</v>
      </c>
      <c r="I151" s="8" t="n">
        <f aca="false">Part_Marks!Q25</f>
        <v>1</v>
      </c>
      <c r="J151" s="8" t="n">
        <v>2</v>
      </c>
      <c r="K151" s="8" t="n">
        <f aca="false">J151-I151</f>
        <v>1</v>
      </c>
      <c r="L151" s="7" t="s">
        <v>315</v>
      </c>
    </row>
    <row r="152" customFormat="false" ht="15" hidden="false" customHeight="false" outlineLevel="0" collapsed="false">
      <c r="A152" s="7" t="s">
        <v>126</v>
      </c>
      <c r="B152" s="7" t="s">
        <v>127</v>
      </c>
      <c r="C152" s="7" t="s">
        <v>185</v>
      </c>
      <c r="D152" s="7" t="s">
        <v>305</v>
      </c>
      <c r="E152" s="7" t="s">
        <v>306</v>
      </c>
      <c r="F152" s="7" t="s">
        <v>307</v>
      </c>
      <c r="G152" s="7" t="s">
        <v>308</v>
      </c>
      <c r="H152" s="7" t="s">
        <v>309</v>
      </c>
      <c r="I152" s="8" t="n">
        <v>0</v>
      </c>
      <c r="J152" s="8" t="n">
        <v>10</v>
      </c>
      <c r="K152" s="8" t="n">
        <f aca="false">J152-I152</f>
        <v>10</v>
      </c>
      <c r="L152" s="7" t="s">
        <v>306</v>
      </c>
    </row>
    <row r="153" customFormat="false" ht="15" hidden="false" customHeight="false" outlineLevel="0" collapsed="false">
      <c r="A153" s="7" t="s">
        <v>131</v>
      </c>
      <c r="B153" s="7" t="s">
        <v>132</v>
      </c>
      <c r="C153" s="7" t="s">
        <v>185</v>
      </c>
      <c r="D153" s="7" t="s">
        <v>316</v>
      </c>
      <c r="E153" s="7" t="s">
        <v>329</v>
      </c>
      <c r="F153" s="7" t="s">
        <v>318</v>
      </c>
      <c r="G153" s="7" t="s">
        <v>330</v>
      </c>
      <c r="H153" s="7" t="s">
        <v>331</v>
      </c>
      <c r="I153" s="8" t="n">
        <f aca="false">Part_Marks!D26</f>
        <v>2.5</v>
      </c>
      <c r="J153" s="8" t="n">
        <v>3</v>
      </c>
      <c r="K153" s="8" t="n">
        <f aca="false">J153-I153</f>
        <v>0.5</v>
      </c>
      <c r="L153" s="7" t="s">
        <v>315</v>
      </c>
    </row>
    <row r="154" customFormat="false" ht="15" hidden="false" customHeight="false" outlineLevel="0" collapsed="false">
      <c r="A154" s="7" t="s">
        <v>131</v>
      </c>
      <c r="B154" s="7" t="s">
        <v>132</v>
      </c>
      <c r="C154" s="7" t="s">
        <v>49</v>
      </c>
      <c r="D154" s="7" t="s">
        <v>325</v>
      </c>
      <c r="E154" s="7" t="s">
        <v>322</v>
      </c>
      <c r="F154" s="7" t="s">
        <v>318</v>
      </c>
      <c r="G154" s="7" t="s">
        <v>337</v>
      </c>
      <c r="H154" s="7" t="s">
        <v>376</v>
      </c>
      <c r="I154" s="8" t="n">
        <f aca="false">Part_Marks!J26</f>
        <v>0</v>
      </c>
      <c r="J154" s="8" t="n">
        <v>2</v>
      </c>
      <c r="K154" s="8" t="n">
        <f aca="false">J154-I154</f>
        <v>2</v>
      </c>
      <c r="L154" s="7" t="s">
        <v>315</v>
      </c>
    </row>
    <row r="155" customFormat="false" ht="15" hidden="false" customHeight="false" outlineLevel="0" collapsed="false">
      <c r="A155" s="7" t="s">
        <v>131</v>
      </c>
      <c r="B155" s="7" t="s">
        <v>132</v>
      </c>
      <c r="C155" s="7" t="s">
        <v>49</v>
      </c>
      <c r="D155" s="7" t="s">
        <v>316</v>
      </c>
      <c r="E155" s="7" t="s">
        <v>329</v>
      </c>
      <c r="F155" s="7" t="s">
        <v>318</v>
      </c>
      <c r="G155" s="7" t="s">
        <v>330</v>
      </c>
      <c r="H155" s="7" t="s">
        <v>351</v>
      </c>
      <c r="I155" s="8" t="n">
        <f aca="false">Part_Marks!K26</f>
        <v>1.5</v>
      </c>
      <c r="J155" s="8" t="n">
        <v>2</v>
      </c>
      <c r="K155" s="8" t="n">
        <f aca="false">J155-I155</f>
        <v>0.5</v>
      </c>
      <c r="L155" s="7" t="s">
        <v>315</v>
      </c>
    </row>
    <row r="156" customFormat="false" ht="15" hidden="false" customHeight="false" outlineLevel="0" collapsed="false">
      <c r="A156" s="7" t="s">
        <v>131</v>
      </c>
      <c r="B156" s="7" t="s">
        <v>132</v>
      </c>
      <c r="C156" s="7" t="s">
        <v>49</v>
      </c>
      <c r="D156" s="7" t="s">
        <v>310</v>
      </c>
      <c r="E156" s="7" t="s">
        <v>326</v>
      </c>
      <c r="F156" s="7" t="s">
        <v>318</v>
      </c>
      <c r="G156" s="7" t="s">
        <v>333</v>
      </c>
      <c r="H156" s="7" t="s">
        <v>387</v>
      </c>
      <c r="I156" s="8" t="n">
        <f aca="false">Part_Marks!L26</f>
        <v>2</v>
      </c>
      <c r="J156" s="8" t="n">
        <v>4</v>
      </c>
      <c r="K156" s="8" t="n">
        <f aca="false">J156-I156</f>
        <v>2</v>
      </c>
      <c r="L156" s="7" t="s">
        <v>315</v>
      </c>
    </row>
    <row r="157" customFormat="false" ht="15" hidden="false" customHeight="false" outlineLevel="0" collapsed="false">
      <c r="A157" s="7" t="s">
        <v>131</v>
      </c>
      <c r="B157" s="7" t="s">
        <v>132</v>
      </c>
      <c r="C157" s="7" t="s">
        <v>140</v>
      </c>
      <c r="D157" s="7" t="s">
        <v>305</v>
      </c>
      <c r="E157" s="7" t="s">
        <v>306</v>
      </c>
      <c r="F157" s="7" t="s">
        <v>307</v>
      </c>
      <c r="G157" s="7" t="s">
        <v>308</v>
      </c>
      <c r="H157" s="7" t="s">
        <v>309</v>
      </c>
      <c r="I157" s="8" t="n">
        <v>0</v>
      </c>
      <c r="J157" s="8" t="n">
        <v>10</v>
      </c>
      <c r="K157" s="8" t="n">
        <f aca="false">J157-I157</f>
        <v>10</v>
      </c>
      <c r="L157" s="7" t="s">
        <v>306</v>
      </c>
    </row>
    <row r="158" customFormat="false" ht="15" hidden="false" customHeight="false" outlineLevel="0" collapsed="false">
      <c r="A158" s="7" t="s">
        <v>131</v>
      </c>
      <c r="B158" s="7" t="s">
        <v>132</v>
      </c>
      <c r="C158" s="7" t="s">
        <v>232</v>
      </c>
      <c r="D158" s="7" t="s">
        <v>305</v>
      </c>
      <c r="E158" s="7" t="s">
        <v>306</v>
      </c>
      <c r="F158" s="7" t="s">
        <v>307</v>
      </c>
      <c r="G158" s="7" t="s">
        <v>308</v>
      </c>
      <c r="H158" s="7" t="s">
        <v>309</v>
      </c>
      <c r="I158" s="8" t="n">
        <v>0</v>
      </c>
      <c r="J158" s="8" t="n">
        <v>10</v>
      </c>
      <c r="K158" s="8" t="n">
        <f aca="false">J158-I158</f>
        <v>10</v>
      </c>
      <c r="L158" s="7" t="s">
        <v>306</v>
      </c>
    </row>
    <row r="159" customFormat="false" ht="23.85" hidden="false" customHeight="false" outlineLevel="0" collapsed="false">
      <c r="A159" s="7" t="s">
        <v>137</v>
      </c>
      <c r="B159" s="7" t="s">
        <v>138</v>
      </c>
      <c r="C159" s="7" t="s">
        <v>140</v>
      </c>
      <c r="D159" s="7" t="s">
        <v>325</v>
      </c>
      <c r="E159" s="7" t="s">
        <v>317</v>
      </c>
      <c r="F159" s="7" t="s">
        <v>318</v>
      </c>
      <c r="G159" s="7" t="s">
        <v>333</v>
      </c>
      <c r="H159" s="7" t="s">
        <v>404</v>
      </c>
      <c r="I159" s="8" t="n">
        <f aca="false">Part_Marks!F27</f>
        <v>1.5</v>
      </c>
      <c r="J159" s="8" t="n">
        <v>2</v>
      </c>
      <c r="K159" s="8" t="n">
        <f aca="false">J159-I159</f>
        <v>0.5</v>
      </c>
      <c r="L159" s="7" t="s">
        <v>350</v>
      </c>
    </row>
    <row r="160" customFormat="false" ht="23.85" hidden="false" customHeight="false" outlineLevel="0" collapsed="false">
      <c r="A160" s="7" t="s">
        <v>137</v>
      </c>
      <c r="B160" s="7" t="s">
        <v>138</v>
      </c>
      <c r="C160" s="7" t="s">
        <v>140</v>
      </c>
      <c r="D160" s="7" t="s">
        <v>310</v>
      </c>
      <c r="E160" s="7" t="s">
        <v>317</v>
      </c>
      <c r="F160" s="7" t="s">
        <v>318</v>
      </c>
      <c r="G160" s="7" t="s">
        <v>330</v>
      </c>
      <c r="H160" s="7" t="s">
        <v>368</v>
      </c>
      <c r="I160" s="8" t="n">
        <f aca="false">Part_Marks!H27</f>
        <v>2.5</v>
      </c>
      <c r="J160" s="8" t="n">
        <v>4</v>
      </c>
      <c r="K160" s="8" t="n">
        <f aca="false">J160-I160</f>
        <v>1.5</v>
      </c>
      <c r="L160" s="7" t="s">
        <v>350</v>
      </c>
    </row>
    <row r="161" customFormat="false" ht="15" hidden="false" customHeight="false" outlineLevel="0" collapsed="false">
      <c r="A161" s="7" t="s">
        <v>137</v>
      </c>
      <c r="B161" s="7" t="s">
        <v>138</v>
      </c>
      <c r="C161" s="7" t="s">
        <v>140</v>
      </c>
      <c r="D161" s="7" t="s">
        <v>321</v>
      </c>
      <c r="E161" s="7" t="s">
        <v>326</v>
      </c>
      <c r="F161" s="7" t="s">
        <v>318</v>
      </c>
      <c r="G161" s="7" t="s">
        <v>337</v>
      </c>
      <c r="H161" s="7" t="s">
        <v>338</v>
      </c>
      <c r="I161" s="8" t="n">
        <f aca="false">Part_Marks!I27</f>
        <v>1</v>
      </c>
      <c r="J161" s="8" t="n">
        <v>2</v>
      </c>
      <c r="K161" s="8" t="n">
        <f aca="false">J161-I161</f>
        <v>1</v>
      </c>
      <c r="L161" s="7" t="s">
        <v>350</v>
      </c>
    </row>
    <row r="162" customFormat="false" ht="15" hidden="false" customHeight="false" outlineLevel="0" collapsed="false">
      <c r="A162" s="7" t="s">
        <v>137</v>
      </c>
      <c r="B162" s="7" t="s">
        <v>138</v>
      </c>
      <c r="C162" s="7" t="s">
        <v>49</v>
      </c>
      <c r="D162" s="7" t="s">
        <v>325</v>
      </c>
      <c r="E162" s="7" t="s">
        <v>322</v>
      </c>
      <c r="F162" s="7" t="s">
        <v>318</v>
      </c>
      <c r="G162" s="7" t="s">
        <v>337</v>
      </c>
      <c r="H162" s="7" t="s">
        <v>376</v>
      </c>
      <c r="I162" s="8" t="n">
        <f aca="false">Part_Marks!J27</f>
        <v>0</v>
      </c>
      <c r="J162" s="8" t="n">
        <v>2</v>
      </c>
      <c r="K162" s="8" t="n">
        <f aca="false">J162-I162</f>
        <v>2</v>
      </c>
      <c r="L162" s="7" t="s">
        <v>315</v>
      </c>
    </row>
    <row r="163" customFormat="false" ht="23.85" hidden="false" customHeight="false" outlineLevel="0" collapsed="false">
      <c r="A163" s="7" t="s">
        <v>137</v>
      </c>
      <c r="B163" s="7" t="s">
        <v>138</v>
      </c>
      <c r="C163" s="7" t="s">
        <v>49</v>
      </c>
      <c r="D163" s="7" t="s">
        <v>316</v>
      </c>
      <c r="E163" s="7" t="s">
        <v>322</v>
      </c>
      <c r="F163" s="7" t="s">
        <v>318</v>
      </c>
      <c r="G163" s="7" t="s">
        <v>330</v>
      </c>
      <c r="H163" s="7" t="s">
        <v>386</v>
      </c>
      <c r="I163" s="8" t="n">
        <f aca="false">Part_Marks!K27</f>
        <v>1</v>
      </c>
      <c r="J163" s="8" t="n">
        <v>2</v>
      </c>
      <c r="K163" s="8" t="n">
        <f aca="false">J163-I163</f>
        <v>1</v>
      </c>
      <c r="L163" s="7" t="s">
        <v>315</v>
      </c>
    </row>
    <row r="164" customFormat="false" ht="15" hidden="false" customHeight="false" outlineLevel="0" collapsed="false">
      <c r="A164" s="7" t="s">
        <v>137</v>
      </c>
      <c r="B164" s="7" t="s">
        <v>138</v>
      </c>
      <c r="C164" s="7" t="s">
        <v>140</v>
      </c>
      <c r="D164" s="7" t="s">
        <v>305</v>
      </c>
      <c r="E164" s="7" t="s">
        <v>306</v>
      </c>
      <c r="F164" s="7" t="s">
        <v>8</v>
      </c>
      <c r="G164" s="7" t="s">
        <v>356</v>
      </c>
      <c r="H164" s="7" t="s">
        <v>357</v>
      </c>
      <c r="I164" s="8" t="n">
        <f aca="false">SUM(Part_Marks!F27:I27)</f>
        <v>7</v>
      </c>
      <c r="J164" s="8" t="n">
        <v>10</v>
      </c>
      <c r="K164" s="8" t="n">
        <f aca="false">J164-I164</f>
        <v>3</v>
      </c>
      <c r="L164" s="7" t="s">
        <v>350</v>
      </c>
    </row>
    <row r="165" customFormat="false" ht="15" hidden="false" customHeight="false" outlineLevel="0" collapsed="false">
      <c r="A165" s="7" t="s">
        <v>143</v>
      </c>
      <c r="B165" s="7" t="s">
        <v>144</v>
      </c>
      <c r="C165" s="7" t="s">
        <v>140</v>
      </c>
      <c r="D165" s="7" t="s">
        <v>325</v>
      </c>
      <c r="E165" s="7" t="s">
        <v>329</v>
      </c>
      <c r="F165" s="7" t="s">
        <v>318</v>
      </c>
      <c r="G165" s="7" t="s">
        <v>333</v>
      </c>
      <c r="H165" s="7" t="s">
        <v>334</v>
      </c>
      <c r="I165" s="8" t="n">
        <f aca="false">Part_Marks!F28</f>
        <v>1.5</v>
      </c>
      <c r="J165" s="8" t="n">
        <v>2</v>
      </c>
      <c r="K165" s="8" t="n">
        <f aca="false">J165-I165</f>
        <v>0.5</v>
      </c>
      <c r="L165" s="7" t="s">
        <v>315</v>
      </c>
    </row>
    <row r="166" customFormat="false" ht="23.85" hidden="false" customHeight="false" outlineLevel="0" collapsed="false">
      <c r="A166" s="7" t="s">
        <v>143</v>
      </c>
      <c r="B166" s="7" t="s">
        <v>144</v>
      </c>
      <c r="C166" s="7" t="s">
        <v>140</v>
      </c>
      <c r="D166" s="7" t="s">
        <v>316</v>
      </c>
      <c r="E166" s="7" t="s">
        <v>326</v>
      </c>
      <c r="F166" s="7" t="s">
        <v>318</v>
      </c>
      <c r="G166" s="7" t="s">
        <v>330</v>
      </c>
      <c r="H166" s="7" t="s">
        <v>335</v>
      </c>
      <c r="I166" s="8" t="n">
        <f aca="false">Part_Marks!G28</f>
        <v>1</v>
      </c>
      <c r="J166" s="8" t="n">
        <v>2</v>
      </c>
      <c r="K166" s="8" t="n">
        <f aca="false">J166-I166</f>
        <v>1</v>
      </c>
      <c r="L166" s="7" t="s">
        <v>315</v>
      </c>
    </row>
    <row r="167" customFormat="false" ht="15" hidden="false" customHeight="false" outlineLevel="0" collapsed="false">
      <c r="A167" s="7" t="s">
        <v>143</v>
      </c>
      <c r="B167" s="7" t="s">
        <v>144</v>
      </c>
      <c r="C167" s="7" t="s">
        <v>49</v>
      </c>
      <c r="D167" s="7" t="s">
        <v>316</v>
      </c>
      <c r="E167" s="7" t="s">
        <v>329</v>
      </c>
      <c r="F167" s="7" t="s">
        <v>318</v>
      </c>
      <c r="G167" s="7" t="s">
        <v>330</v>
      </c>
      <c r="H167" s="7" t="s">
        <v>351</v>
      </c>
      <c r="I167" s="8" t="n">
        <f aca="false">Part_Marks!K28</f>
        <v>1.5</v>
      </c>
      <c r="J167" s="8" t="n">
        <v>2</v>
      </c>
      <c r="K167" s="8" t="n">
        <f aca="false">J167-I167</f>
        <v>0.5</v>
      </c>
      <c r="L167" s="7" t="s">
        <v>315</v>
      </c>
    </row>
    <row r="168" customFormat="false" ht="23.85" hidden="false" customHeight="false" outlineLevel="0" collapsed="false">
      <c r="A168" s="7" t="s">
        <v>143</v>
      </c>
      <c r="B168" s="7" t="s">
        <v>144</v>
      </c>
      <c r="C168" s="7" t="s">
        <v>49</v>
      </c>
      <c r="D168" s="7" t="s">
        <v>321</v>
      </c>
      <c r="E168" s="7" t="s">
        <v>329</v>
      </c>
      <c r="F168" s="7" t="s">
        <v>318</v>
      </c>
      <c r="G168" s="7" t="s">
        <v>369</v>
      </c>
      <c r="H168" s="7" t="s">
        <v>370</v>
      </c>
      <c r="I168" s="8" t="n">
        <f aca="false">Part_Marks!M28</f>
        <v>1</v>
      </c>
      <c r="J168" s="8" t="n">
        <v>2</v>
      </c>
      <c r="K168" s="8" t="n">
        <f aca="false">J168-I168</f>
        <v>1</v>
      </c>
      <c r="L168" s="7" t="s">
        <v>315</v>
      </c>
    </row>
    <row r="169" customFormat="false" ht="15" hidden="false" customHeight="false" outlineLevel="0" collapsed="false">
      <c r="A169" s="7" t="s">
        <v>143</v>
      </c>
      <c r="B169" s="7" t="s">
        <v>144</v>
      </c>
      <c r="C169" s="7" t="s">
        <v>232</v>
      </c>
      <c r="D169" s="7" t="s">
        <v>325</v>
      </c>
      <c r="E169" s="7" t="s">
        <v>326</v>
      </c>
      <c r="F169" s="7" t="s">
        <v>318</v>
      </c>
      <c r="G169" s="7" t="s">
        <v>330</v>
      </c>
      <c r="H169" s="7" t="s">
        <v>393</v>
      </c>
      <c r="I169" s="8" t="n">
        <f aca="false">Part_Marks!N28</f>
        <v>1</v>
      </c>
      <c r="J169" s="8" t="n">
        <v>2</v>
      </c>
      <c r="K169" s="8" t="n">
        <f aca="false">J169-I169</f>
        <v>1</v>
      </c>
      <c r="L169" s="7" t="s">
        <v>315</v>
      </c>
    </row>
    <row r="170" customFormat="false" ht="15" hidden="false" customHeight="false" outlineLevel="0" collapsed="false">
      <c r="A170" s="7" t="s">
        <v>143</v>
      </c>
      <c r="B170" s="7" t="s">
        <v>144</v>
      </c>
      <c r="C170" s="7" t="s">
        <v>232</v>
      </c>
      <c r="D170" s="7" t="s">
        <v>310</v>
      </c>
      <c r="E170" s="7" t="s">
        <v>317</v>
      </c>
      <c r="F170" s="7" t="s">
        <v>318</v>
      </c>
      <c r="G170" s="7" t="s">
        <v>337</v>
      </c>
      <c r="H170" s="7" t="s">
        <v>397</v>
      </c>
      <c r="I170" s="8" t="n">
        <f aca="false">Part_Marks!P28</f>
        <v>2.5</v>
      </c>
      <c r="J170" s="8" t="n">
        <v>4</v>
      </c>
      <c r="K170" s="8" t="n">
        <f aca="false">J170-I170</f>
        <v>1.5</v>
      </c>
      <c r="L170" s="7" t="s">
        <v>315</v>
      </c>
    </row>
    <row r="171" customFormat="false" ht="23.85" hidden="false" customHeight="false" outlineLevel="0" collapsed="false">
      <c r="A171" s="7" t="s">
        <v>148</v>
      </c>
      <c r="B171" s="7" t="s">
        <v>149</v>
      </c>
      <c r="C171" s="7" t="s">
        <v>140</v>
      </c>
      <c r="D171" s="7" t="s">
        <v>321</v>
      </c>
      <c r="E171" s="7" t="s">
        <v>322</v>
      </c>
      <c r="F171" s="7" t="s">
        <v>318</v>
      </c>
      <c r="G171" s="7" t="s">
        <v>337</v>
      </c>
      <c r="H171" s="7" t="s">
        <v>375</v>
      </c>
      <c r="I171" s="8" t="n">
        <f aca="false">Part_Marks!I29</f>
        <v>1</v>
      </c>
      <c r="J171" s="8" t="n">
        <v>2</v>
      </c>
      <c r="K171" s="8" t="n">
        <f aca="false">J171-I171</f>
        <v>1</v>
      </c>
      <c r="L171" s="7" t="s">
        <v>315</v>
      </c>
    </row>
    <row r="172" customFormat="false" ht="15" hidden="false" customHeight="false" outlineLevel="0" collapsed="false">
      <c r="A172" s="7" t="s">
        <v>148</v>
      </c>
      <c r="B172" s="7" t="s">
        <v>149</v>
      </c>
      <c r="C172" s="7" t="s">
        <v>185</v>
      </c>
      <c r="D172" s="7" t="s">
        <v>305</v>
      </c>
      <c r="E172" s="7" t="s">
        <v>306</v>
      </c>
      <c r="F172" s="7" t="s">
        <v>307</v>
      </c>
      <c r="G172" s="7" t="s">
        <v>308</v>
      </c>
      <c r="H172" s="7" t="s">
        <v>309</v>
      </c>
      <c r="I172" s="8" t="n">
        <v>0</v>
      </c>
      <c r="J172" s="8" t="n">
        <v>10</v>
      </c>
      <c r="K172" s="8" t="n">
        <f aca="false">J172-I172</f>
        <v>10</v>
      </c>
      <c r="L172" s="7" t="s">
        <v>306</v>
      </c>
    </row>
    <row r="173" customFormat="false" ht="23.85" hidden="false" customHeight="false" outlineLevel="0" collapsed="false">
      <c r="A173" s="7" t="s">
        <v>151</v>
      </c>
      <c r="B173" s="7" t="s">
        <v>152</v>
      </c>
      <c r="C173" s="7" t="s">
        <v>185</v>
      </c>
      <c r="D173" s="7" t="s">
        <v>325</v>
      </c>
      <c r="E173" s="7" t="s">
        <v>326</v>
      </c>
      <c r="F173" s="7" t="s">
        <v>318</v>
      </c>
      <c r="G173" s="7" t="s">
        <v>327</v>
      </c>
      <c r="H173" s="7" t="s">
        <v>328</v>
      </c>
      <c r="I173" s="8" t="n">
        <f aca="false">Part_Marks!C30</f>
        <v>2</v>
      </c>
      <c r="J173" s="8" t="n">
        <v>4</v>
      </c>
      <c r="K173" s="8" t="n">
        <f aca="false">J173-I173</f>
        <v>2</v>
      </c>
      <c r="L173" s="7" t="s">
        <v>315</v>
      </c>
    </row>
    <row r="174" customFormat="false" ht="23.85" hidden="false" customHeight="false" outlineLevel="0" collapsed="false">
      <c r="A174" s="7" t="s">
        <v>151</v>
      </c>
      <c r="B174" s="7" t="s">
        <v>152</v>
      </c>
      <c r="C174" s="7" t="s">
        <v>140</v>
      </c>
      <c r="D174" s="7" t="s">
        <v>325</v>
      </c>
      <c r="E174" s="7" t="s">
        <v>317</v>
      </c>
      <c r="F174" s="7" t="s">
        <v>318</v>
      </c>
      <c r="G174" s="7" t="s">
        <v>333</v>
      </c>
      <c r="H174" s="7" t="s">
        <v>404</v>
      </c>
      <c r="I174" s="8" t="n">
        <f aca="false">Part_Marks!F30</f>
        <v>1.5</v>
      </c>
      <c r="J174" s="8" t="n">
        <v>2</v>
      </c>
      <c r="K174" s="8" t="n">
        <f aca="false">J174-I174</f>
        <v>0.5</v>
      </c>
      <c r="L174" s="7" t="s">
        <v>315</v>
      </c>
    </row>
    <row r="175" customFormat="false" ht="23.85" hidden="false" customHeight="false" outlineLevel="0" collapsed="false">
      <c r="A175" s="7" t="s">
        <v>151</v>
      </c>
      <c r="B175" s="7" t="s">
        <v>152</v>
      </c>
      <c r="C175" s="7" t="s">
        <v>140</v>
      </c>
      <c r="D175" s="7" t="s">
        <v>310</v>
      </c>
      <c r="E175" s="7" t="s">
        <v>311</v>
      </c>
      <c r="F175" s="7" t="s">
        <v>312</v>
      </c>
      <c r="G175" s="7" t="s">
        <v>313</v>
      </c>
      <c r="H175" s="7" t="s">
        <v>314</v>
      </c>
      <c r="I175" s="8" t="n">
        <f aca="false">Part_Marks!H30</f>
        <v>4</v>
      </c>
      <c r="J175" s="8" t="n">
        <v>4</v>
      </c>
      <c r="K175" s="8" t="n">
        <f aca="false">J175-I175</f>
        <v>0</v>
      </c>
      <c r="L175" s="7" t="s">
        <v>315</v>
      </c>
    </row>
    <row r="176" customFormat="false" ht="23.85" hidden="false" customHeight="false" outlineLevel="0" collapsed="false">
      <c r="A176" s="7" t="s">
        <v>151</v>
      </c>
      <c r="B176" s="7" t="s">
        <v>152</v>
      </c>
      <c r="C176" s="7" t="s">
        <v>232</v>
      </c>
      <c r="D176" s="7" t="s">
        <v>325</v>
      </c>
      <c r="E176" s="7" t="s">
        <v>329</v>
      </c>
      <c r="F176" s="7" t="s">
        <v>318</v>
      </c>
      <c r="G176" s="7" t="s">
        <v>337</v>
      </c>
      <c r="H176" s="7" t="s">
        <v>380</v>
      </c>
      <c r="I176" s="8" t="n">
        <f aca="false">Part_Marks!N30</f>
        <v>0.5</v>
      </c>
      <c r="J176" s="8" t="n">
        <v>2</v>
      </c>
      <c r="K176" s="8" t="n">
        <f aca="false">J176-I176</f>
        <v>1.5</v>
      </c>
      <c r="L176" s="7" t="s">
        <v>315</v>
      </c>
    </row>
    <row r="177" customFormat="false" ht="15" hidden="false" customHeight="false" outlineLevel="0" collapsed="false">
      <c r="A177" s="7" t="s">
        <v>151</v>
      </c>
      <c r="B177" s="7" t="s">
        <v>152</v>
      </c>
      <c r="C177" s="7" t="s">
        <v>49</v>
      </c>
      <c r="D177" s="7" t="s">
        <v>305</v>
      </c>
      <c r="E177" s="7" t="s">
        <v>306</v>
      </c>
      <c r="F177" s="7" t="s">
        <v>307</v>
      </c>
      <c r="G177" s="7" t="s">
        <v>308</v>
      </c>
      <c r="H177" s="7" t="s">
        <v>309</v>
      </c>
      <c r="I177" s="8" t="n">
        <v>0</v>
      </c>
      <c r="J177" s="8" t="n">
        <v>10</v>
      </c>
      <c r="K177" s="8" t="n">
        <f aca="false">J177-I177</f>
        <v>10</v>
      </c>
      <c r="L177" s="7" t="s">
        <v>306</v>
      </c>
    </row>
    <row r="178" customFormat="false" ht="15" hidden="false" customHeight="false" outlineLevel="0" collapsed="false">
      <c r="A178" s="7" t="s">
        <v>155</v>
      </c>
      <c r="B178" s="7" t="s">
        <v>156</v>
      </c>
      <c r="C178" s="7" t="s">
        <v>185</v>
      </c>
      <c r="D178" s="7" t="s">
        <v>325</v>
      </c>
      <c r="E178" s="7" t="s">
        <v>329</v>
      </c>
      <c r="F178" s="7" t="s">
        <v>318</v>
      </c>
      <c r="G178" s="7" t="s">
        <v>337</v>
      </c>
      <c r="H178" s="7" t="s">
        <v>342</v>
      </c>
      <c r="I178" s="8" t="n">
        <f aca="false">Part_Marks!C31</f>
        <v>2</v>
      </c>
      <c r="J178" s="8" t="n">
        <v>4</v>
      </c>
      <c r="K178" s="8" t="n">
        <f aca="false">J178-I178</f>
        <v>2</v>
      </c>
      <c r="L178" s="7" t="s">
        <v>315</v>
      </c>
    </row>
    <row r="179" customFormat="false" ht="15" hidden="false" customHeight="false" outlineLevel="0" collapsed="false">
      <c r="A179" s="7" t="s">
        <v>155</v>
      </c>
      <c r="B179" s="7" t="s">
        <v>156</v>
      </c>
      <c r="C179" s="7" t="s">
        <v>185</v>
      </c>
      <c r="D179" s="7" t="s">
        <v>316</v>
      </c>
      <c r="E179" s="7" t="s">
        <v>329</v>
      </c>
      <c r="F179" s="7" t="s">
        <v>318</v>
      </c>
      <c r="G179" s="7" t="s">
        <v>330</v>
      </c>
      <c r="H179" s="7" t="s">
        <v>331</v>
      </c>
      <c r="I179" s="8" t="n">
        <f aca="false">Part_Marks!D31</f>
        <v>2.5</v>
      </c>
      <c r="J179" s="8" t="n">
        <v>3</v>
      </c>
      <c r="K179" s="8" t="n">
        <f aca="false">J179-I179</f>
        <v>0.5</v>
      </c>
      <c r="L179" s="7" t="s">
        <v>315</v>
      </c>
    </row>
    <row r="180" customFormat="false" ht="15" hidden="false" customHeight="false" outlineLevel="0" collapsed="false">
      <c r="A180" s="7" t="s">
        <v>155</v>
      </c>
      <c r="B180" s="7" t="s">
        <v>156</v>
      </c>
      <c r="C180" s="7" t="s">
        <v>140</v>
      </c>
      <c r="D180" s="7" t="s">
        <v>321</v>
      </c>
      <c r="E180" s="7" t="s">
        <v>317</v>
      </c>
      <c r="F180" s="7" t="s">
        <v>318</v>
      </c>
      <c r="G180" s="7" t="s">
        <v>319</v>
      </c>
      <c r="H180" s="7" t="s">
        <v>399</v>
      </c>
      <c r="I180" s="8" t="n">
        <f aca="false">Part_Marks!I31</f>
        <v>1</v>
      </c>
      <c r="J180" s="8" t="n">
        <v>2</v>
      </c>
      <c r="K180" s="8" t="n">
        <f aca="false">J180-I180</f>
        <v>1</v>
      </c>
      <c r="L180" s="7" t="s">
        <v>315</v>
      </c>
    </row>
    <row r="181" customFormat="false" ht="23.85" hidden="false" customHeight="false" outlineLevel="0" collapsed="false">
      <c r="A181" s="7" t="s">
        <v>155</v>
      </c>
      <c r="B181" s="7" t="s">
        <v>156</v>
      </c>
      <c r="C181" s="7" t="s">
        <v>232</v>
      </c>
      <c r="D181" s="7" t="s">
        <v>325</v>
      </c>
      <c r="E181" s="7" t="s">
        <v>329</v>
      </c>
      <c r="F181" s="7" t="s">
        <v>318</v>
      </c>
      <c r="G181" s="7" t="s">
        <v>337</v>
      </c>
      <c r="H181" s="7" t="s">
        <v>380</v>
      </c>
      <c r="I181" s="8" t="n">
        <f aca="false">Part_Marks!N31</f>
        <v>0.5</v>
      </c>
      <c r="J181" s="8" t="n">
        <v>2</v>
      </c>
      <c r="K181" s="8" t="n">
        <f aca="false">J181-I181</f>
        <v>1.5</v>
      </c>
      <c r="L181" s="7" t="s">
        <v>315</v>
      </c>
    </row>
    <row r="182" customFormat="false" ht="15" hidden="false" customHeight="false" outlineLevel="0" collapsed="false">
      <c r="A182" s="7" t="s">
        <v>155</v>
      </c>
      <c r="B182" s="7" t="s">
        <v>156</v>
      </c>
      <c r="C182" s="7" t="s">
        <v>232</v>
      </c>
      <c r="D182" s="7" t="s">
        <v>310</v>
      </c>
      <c r="E182" s="7" t="s">
        <v>317</v>
      </c>
      <c r="F182" s="7" t="s">
        <v>318</v>
      </c>
      <c r="G182" s="7" t="s">
        <v>337</v>
      </c>
      <c r="H182" s="7" t="s">
        <v>397</v>
      </c>
      <c r="I182" s="8" t="n">
        <f aca="false">Part_Marks!P31</f>
        <v>2.5</v>
      </c>
      <c r="J182" s="8" t="n">
        <v>4</v>
      </c>
      <c r="K182" s="8" t="n">
        <f aca="false">J182-I182</f>
        <v>1.5</v>
      </c>
      <c r="L182" s="7" t="s">
        <v>315</v>
      </c>
    </row>
    <row r="183" customFormat="false" ht="15" hidden="false" customHeight="false" outlineLevel="0" collapsed="false">
      <c r="A183" s="7" t="s">
        <v>155</v>
      </c>
      <c r="B183" s="7" t="s">
        <v>156</v>
      </c>
      <c r="C183" s="7" t="s">
        <v>49</v>
      </c>
      <c r="D183" s="7" t="s">
        <v>305</v>
      </c>
      <c r="E183" s="7" t="s">
        <v>306</v>
      </c>
      <c r="F183" s="7" t="s">
        <v>307</v>
      </c>
      <c r="G183" s="7" t="s">
        <v>308</v>
      </c>
      <c r="H183" s="7" t="s">
        <v>309</v>
      </c>
      <c r="I183" s="8" t="n">
        <v>0</v>
      </c>
      <c r="J183" s="8" t="n">
        <v>10</v>
      </c>
      <c r="K183" s="8" t="n">
        <f aca="false">J183-I183</f>
        <v>10</v>
      </c>
      <c r="L183" s="7" t="s">
        <v>306</v>
      </c>
    </row>
    <row r="184" customFormat="false" ht="15" hidden="false" customHeight="false" outlineLevel="0" collapsed="false">
      <c r="A184" s="7" t="s">
        <v>158</v>
      </c>
      <c r="B184" s="7" t="s">
        <v>159</v>
      </c>
      <c r="C184" s="7" t="s">
        <v>185</v>
      </c>
      <c r="D184" s="7" t="s">
        <v>310</v>
      </c>
      <c r="E184" s="7" t="s">
        <v>317</v>
      </c>
      <c r="F184" s="7" t="s">
        <v>318</v>
      </c>
      <c r="G184" s="7" t="s">
        <v>405</v>
      </c>
      <c r="H184" s="7" t="s">
        <v>406</v>
      </c>
      <c r="I184" s="8" t="n">
        <f aca="false">Part_Marks!E32</f>
        <v>2.5</v>
      </c>
      <c r="J184" s="8" t="n">
        <v>3</v>
      </c>
      <c r="K184" s="8" t="n">
        <f aca="false">J184-I184</f>
        <v>0.5</v>
      </c>
      <c r="L184" s="7" t="s">
        <v>315</v>
      </c>
    </row>
    <row r="185" customFormat="false" ht="15" hidden="false" customHeight="false" outlineLevel="0" collapsed="false">
      <c r="A185" s="7" t="s">
        <v>158</v>
      </c>
      <c r="B185" s="7" t="s">
        <v>159</v>
      </c>
      <c r="C185" s="7" t="s">
        <v>49</v>
      </c>
      <c r="D185" s="7" t="s">
        <v>310</v>
      </c>
      <c r="E185" s="7" t="s">
        <v>317</v>
      </c>
      <c r="F185" s="7" t="s">
        <v>318</v>
      </c>
      <c r="G185" s="7" t="s">
        <v>330</v>
      </c>
      <c r="H185" s="7" t="s">
        <v>352</v>
      </c>
      <c r="I185" s="8" t="n">
        <f aca="false">Part_Marks!L32</f>
        <v>3</v>
      </c>
      <c r="J185" s="8" t="n">
        <v>4</v>
      </c>
      <c r="K185" s="8" t="n">
        <f aca="false">J185-I185</f>
        <v>1</v>
      </c>
      <c r="L185" s="7" t="s">
        <v>315</v>
      </c>
    </row>
    <row r="186" customFormat="false" ht="23.85" hidden="false" customHeight="false" outlineLevel="0" collapsed="false">
      <c r="A186" s="7" t="s">
        <v>158</v>
      </c>
      <c r="B186" s="7" t="s">
        <v>159</v>
      </c>
      <c r="C186" s="7" t="s">
        <v>232</v>
      </c>
      <c r="D186" s="7" t="s">
        <v>325</v>
      </c>
      <c r="E186" s="7" t="s">
        <v>329</v>
      </c>
      <c r="F186" s="7" t="s">
        <v>318</v>
      </c>
      <c r="G186" s="7" t="s">
        <v>337</v>
      </c>
      <c r="H186" s="7" t="s">
        <v>380</v>
      </c>
      <c r="I186" s="8" t="n">
        <f aca="false">Part_Marks!N32</f>
        <v>0.5</v>
      </c>
      <c r="J186" s="8" t="n">
        <v>2</v>
      </c>
      <c r="K186" s="8" t="n">
        <f aca="false">J186-I186</f>
        <v>1.5</v>
      </c>
      <c r="L186" s="7" t="s">
        <v>315</v>
      </c>
    </row>
    <row r="187" customFormat="false" ht="23.85" hidden="false" customHeight="false" outlineLevel="0" collapsed="false">
      <c r="A187" s="7" t="s">
        <v>158</v>
      </c>
      <c r="B187" s="7" t="s">
        <v>159</v>
      </c>
      <c r="C187" s="7" t="s">
        <v>232</v>
      </c>
      <c r="D187" s="7" t="s">
        <v>310</v>
      </c>
      <c r="E187" s="7" t="s">
        <v>400</v>
      </c>
      <c r="F187" s="7" t="s">
        <v>318</v>
      </c>
      <c r="G187" s="7" t="s">
        <v>401</v>
      </c>
      <c r="H187" s="7" t="s">
        <v>402</v>
      </c>
      <c r="I187" s="8" t="n">
        <f aca="false">Part_Marks!P32</f>
        <v>3.5</v>
      </c>
      <c r="J187" s="8" t="n">
        <v>4</v>
      </c>
      <c r="K187" s="8" t="n">
        <f aca="false">J187-I187</f>
        <v>0.5</v>
      </c>
      <c r="L187" s="7" t="s">
        <v>315</v>
      </c>
    </row>
    <row r="188" customFormat="false" ht="15" hidden="false" customHeight="false" outlineLevel="0" collapsed="false">
      <c r="A188" s="7" t="s">
        <v>158</v>
      </c>
      <c r="B188" s="7" t="s">
        <v>159</v>
      </c>
      <c r="C188" s="7" t="s">
        <v>232</v>
      </c>
      <c r="D188" s="7" t="s">
        <v>321</v>
      </c>
      <c r="E188" s="7" t="s">
        <v>400</v>
      </c>
      <c r="F188" s="7" t="s">
        <v>318</v>
      </c>
      <c r="G188" s="7" t="s">
        <v>319</v>
      </c>
      <c r="H188" s="7" t="s">
        <v>407</v>
      </c>
      <c r="I188" s="8" t="n">
        <f aca="false">Part_Marks!Q32</f>
        <v>1.5</v>
      </c>
      <c r="J188" s="8" t="n">
        <v>2</v>
      </c>
      <c r="K188" s="8" t="n">
        <f aca="false">J188-I188</f>
        <v>0.5</v>
      </c>
      <c r="L188" s="7" t="s">
        <v>315</v>
      </c>
    </row>
    <row r="189" customFormat="false" ht="15" hidden="false" customHeight="false" outlineLevel="0" collapsed="false">
      <c r="A189" s="7" t="s">
        <v>158</v>
      </c>
      <c r="B189" s="7" t="s">
        <v>159</v>
      </c>
      <c r="C189" s="7" t="s">
        <v>140</v>
      </c>
      <c r="D189" s="7" t="s">
        <v>305</v>
      </c>
      <c r="E189" s="7" t="s">
        <v>306</v>
      </c>
      <c r="F189" s="7" t="s">
        <v>307</v>
      </c>
      <c r="G189" s="7" t="s">
        <v>308</v>
      </c>
      <c r="H189" s="7" t="s">
        <v>309</v>
      </c>
      <c r="I189" s="8" t="n">
        <v>0</v>
      </c>
      <c r="J189" s="8" t="n">
        <v>10</v>
      </c>
      <c r="K189" s="8" t="n">
        <f aca="false">J189-I189</f>
        <v>10</v>
      </c>
      <c r="L189" s="7" t="s">
        <v>306</v>
      </c>
    </row>
    <row r="190" customFormat="false" ht="23.85" hidden="false" customHeight="false" outlineLevel="0" collapsed="false">
      <c r="A190" s="7" t="s">
        <v>161</v>
      </c>
      <c r="B190" s="7" t="s">
        <v>162</v>
      </c>
      <c r="C190" s="7" t="s">
        <v>185</v>
      </c>
      <c r="D190" s="7" t="s">
        <v>325</v>
      </c>
      <c r="E190" s="7" t="s">
        <v>326</v>
      </c>
      <c r="F190" s="7" t="s">
        <v>318</v>
      </c>
      <c r="G190" s="7" t="s">
        <v>327</v>
      </c>
      <c r="H190" s="7" t="s">
        <v>328</v>
      </c>
      <c r="I190" s="8" t="n">
        <f aca="false">Part_Marks!C33</f>
        <v>2</v>
      </c>
      <c r="J190" s="8" t="n">
        <v>4</v>
      </c>
      <c r="K190" s="8" t="n">
        <f aca="false">J190-I190</f>
        <v>2</v>
      </c>
      <c r="L190" s="7" t="s">
        <v>315</v>
      </c>
    </row>
    <row r="191" customFormat="false" ht="15" hidden="false" customHeight="false" outlineLevel="0" collapsed="false">
      <c r="A191" s="7" t="s">
        <v>161</v>
      </c>
      <c r="B191" s="7" t="s">
        <v>162</v>
      </c>
      <c r="C191" s="7" t="s">
        <v>185</v>
      </c>
      <c r="D191" s="7" t="s">
        <v>316</v>
      </c>
      <c r="E191" s="7" t="s">
        <v>317</v>
      </c>
      <c r="F191" s="7" t="s">
        <v>318</v>
      </c>
      <c r="G191" s="7" t="s">
        <v>327</v>
      </c>
      <c r="H191" s="7" t="s">
        <v>398</v>
      </c>
      <c r="I191" s="8" t="n">
        <f aca="false">Part_Marks!D33</f>
        <v>2</v>
      </c>
      <c r="J191" s="8" t="n">
        <v>3</v>
      </c>
      <c r="K191" s="8" t="n">
        <f aca="false">J191-I191</f>
        <v>1</v>
      </c>
      <c r="L191" s="7" t="s">
        <v>315</v>
      </c>
    </row>
    <row r="192" customFormat="false" ht="15" hidden="false" customHeight="false" outlineLevel="0" collapsed="false">
      <c r="A192" s="7" t="s">
        <v>161</v>
      </c>
      <c r="B192" s="7" t="s">
        <v>162</v>
      </c>
      <c r="C192" s="7" t="s">
        <v>49</v>
      </c>
      <c r="D192" s="7" t="s">
        <v>325</v>
      </c>
      <c r="E192" s="7" t="s">
        <v>322</v>
      </c>
      <c r="F192" s="7" t="s">
        <v>318</v>
      </c>
      <c r="G192" s="7" t="s">
        <v>337</v>
      </c>
      <c r="H192" s="7" t="s">
        <v>376</v>
      </c>
      <c r="I192" s="8" t="n">
        <f aca="false">Part_Marks!J33</f>
        <v>0</v>
      </c>
      <c r="J192" s="8" t="n">
        <v>2</v>
      </c>
      <c r="K192" s="8" t="n">
        <f aca="false">J192-I192</f>
        <v>2</v>
      </c>
      <c r="L192" s="7" t="s">
        <v>315</v>
      </c>
    </row>
    <row r="193" customFormat="false" ht="23.85" hidden="false" customHeight="false" outlineLevel="0" collapsed="false">
      <c r="A193" s="7" t="s">
        <v>161</v>
      </c>
      <c r="B193" s="7" t="s">
        <v>162</v>
      </c>
      <c r="C193" s="7" t="s">
        <v>49</v>
      </c>
      <c r="D193" s="7" t="s">
        <v>316</v>
      </c>
      <c r="E193" s="7" t="s">
        <v>326</v>
      </c>
      <c r="F193" s="7" t="s">
        <v>318</v>
      </c>
      <c r="G193" s="7" t="s">
        <v>344</v>
      </c>
      <c r="H193" s="7" t="s">
        <v>377</v>
      </c>
      <c r="I193" s="8" t="n">
        <f aca="false">Part_Marks!K33</f>
        <v>1</v>
      </c>
      <c r="J193" s="8" t="n">
        <v>2</v>
      </c>
      <c r="K193" s="8" t="n">
        <f aca="false">J193-I193</f>
        <v>1</v>
      </c>
      <c r="L193" s="7" t="s">
        <v>315</v>
      </c>
    </row>
    <row r="194" customFormat="false" ht="23.85" hidden="false" customHeight="false" outlineLevel="0" collapsed="false">
      <c r="A194" s="7" t="s">
        <v>161</v>
      </c>
      <c r="B194" s="7" t="s">
        <v>162</v>
      </c>
      <c r="C194" s="7" t="s">
        <v>49</v>
      </c>
      <c r="D194" s="7" t="s">
        <v>310</v>
      </c>
      <c r="E194" s="7" t="s">
        <v>322</v>
      </c>
      <c r="F194" s="7" t="s">
        <v>318</v>
      </c>
      <c r="G194" s="7" t="s">
        <v>337</v>
      </c>
      <c r="H194" s="7" t="s">
        <v>378</v>
      </c>
      <c r="I194" s="8" t="n">
        <f aca="false">Part_Marks!L33</f>
        <v>1</v>
      </c>
      <c r="J194" s="8" t="n">
        <v>4</v>
      </c>
      <c r="K194" s="8" t="n">
        <f aca="false">J194-I194</f>
        <v>3</v>
      </c>
      <c r="L194" s="7" t="s">
        <v>315</v>
      </c>
    </row>
    <row r="195" customFormat="false" ht="23.85" hidden="false" customHeight="false" outlineLevel="0" collapsed="false">
      <c r="A195" s="7" t="s">
        <v>161</v>
      </c>
      <c r="B195" s="7" t="s">
        <v>162</v>
      </c>
      <c r="C195" s="7" t="s">
        <v>49</v>
      </c>
      <c r="D195" s="7" t="s">
        <v>321</v>
      </c>
      <c r="E195" s="7" t="s">
        <v>326</v>
      </c>
      <c r="F195" s="7" t="s">
        <v>318</v>
      </c>
      <c r="G195" s="7" t="s">
        <v>337</v>
      </c>
      <c r="H195" s="7" t="s">
        <v>353</v>
      </c>
      <c r="I195" s="8" t="n">
        <f aca="false">Part_Marks!M33</f>
        <v>1</v>
      </c>
      <c r="J195" s="8" t="n">
        <v>2</v>
      </c>
      <c r="K195" s="8" t="n">
        <f aca="false">J195-I195</f>
        <v>1</v>
      </c>
      <c r="L195" s="7" t="s">
        <v>315</v>
      </c>
    </row>
    <row r="196" customFormat="false" ht="23.85" hidden="false" customHeight="false" outlineLevel="0" collapsed="false">
      <c r="A196" s="7" t="s">
        <v>161</v>
      </c>
      <c r="B196" s="7" t="s">
        <v>162</v>
      </c>
      <c r="C196" s="7" t="s">
        <v>232</v>
      </c>
      <c r="D196" s="7" t="s">
        <v>310</v>
      </c>
      <c r="E196" s="7" t="s">
        <v>400</v>
      </c>
      <c r="F196" s="7" t="s">
        <v>318</v>
      </c>
      <c r="G196" s="7" t="s">
        <v>401</v>
      </c>
      <c r="H196" s="7" t="s">
        <v>402</v>
      </c>
      <c r="I196" s="8" t="n">
        <f aca="false">Part_Marks!P33</f>
        <v>3.5</v>
      </c>
      <c r="J196" s="8" t="n">
        <v>4</v>
      </c>
      <c r="K196" s="8" t="n">
        <f aca="false">J196-I196</f>
        <v>0.5</v>
      </c>
      <c r="L196" s="7" t="s">
        <v>315</v>
      </c>
    </row>
    <row r="197" customFormat="false" ht="15" hidden="false" customHeight="false" outlineLevel="0" collapsed="false">
      <c r="A197" s="7" t="s">
        <v>161</v>
      </c>
      <c r="B197" s="7" t="s">
        <v>162</v>
      </c>
      <c r="C197" s="7" t="s">
        <v>232</v>
      </c>
      <c r="D197" s="7" t="s">
        <v>321</v>
      </c>
      <c r="E197" s="7" t="s">
        <v>317</v>
      </c>
      <c r="F197" s="7" t="s">
        <v>318</v>
      </c>
      <c r="G197" s="7" t="s">
        <v>347</v>
      </c>
      <c r="H197" s="7" t="s">
        <v>355</v>
      </c>
      <c r="I197" s="8" t="n">
        <f aca="false">Part_Marks!Q33</f>
        <v>1</v>
      </c>
      <c r="J197" s="8" t="n">
        <v>2</v>
      </c>
      <c r="K197" s="8" t="n">
        <f aca="false">J197-I197</f>
        <v>1</v>
      </c>
      <c r="L197" s="7" t="s">
        <v>315</v>
      </c>
    </row>
    <row r="198" customFormat="false" ht="15" hidden="false" customHeight="false" outlineLevel="0" collapsed="false">
      <c r="A198" s="7" t="s">
        <v>161</v>
      </c>
      <c r="B198" s="7" t="s">
        <v>162</v>
      </c>
      <c r="C198" s="7" t="s">
        <v>140</v>
      </c>
      <c r="D198" s="7" t="s">
        <v>305</v>
      </c>
      <c r="E198" s="7" t="s">
        <v>306</v>
      </c>
      <c r="F198" s="7" t="s">
        <v>307</v>
      </c>
      <c r="G198" s="7" t="s">
        <v>308</v>
      </c>
      <c r="H198" s="7" t="s">
        <v>309</v>
      </c>
      <c r="I198" s="8" t="n">
        <v>0</v>
      </c>
      <c r="J198" s="8" t="n">
        <v>10</v>
      </c>
      <c r="K198" s="8" t="n">
        <f aca="false">J198-I198</f>
        <v>10</v>
      </c>
      <c r="L198" s="7" t="s">
        <v>306</v>
      </c>
    </row>
    <row r="199" customFormat="false" ht="15" hidden="false" customHeight="false" outlineLevel="0" collapsed="false">
      <c r="A199" s="7" t="s">
        <v>164</v>
      </c>
      <c r="B199" s="7" t="s">
        <v>165</v>
      </c>
      <c r="C199" s="7" t="s">
        <v>140</v>
      </c>
      <c r="D199" s="7" t="s">
        <v>325</v>
      </c>
      <c r="E199" s="7" t="s">
        <v>329</v>
      </c>
      <c r="F199" s="7" t="s">
        <v>318</v>
      </c>
      <c r="G199" s="7" t="s">
        <v>333</v>
      </c>
      <c r="H199" s="7" t="s">
        <v>334</v>
      </c>
      <c r="I199" s="8" t="n">
        <f aca="false">Part_Marks!F34</f>
        <v>1.5</v>
      </c>
      <c r="J199" s="8" t="n">
        <v>2</v>
      </c>
      <c r="K199" s="8" t="n">
        <f aca="false">J199-I199</f>
        <v>0.5</v>
      </c>
      <c r="L199" s="7" t="s">
        <v>315</v>
      </c>
    </row>
    <row r="200" customFormat="false" ht="15" hidden="false" customHeight="false" outlineLevel="0" collapsed="false">
      <c r="A200" s="7" t="s">
        <v>164</v>
      </c>
      <c r="B200" s="7" t="s">
        <v>165</v>
      </c>
      <c r="C200" s="7" t="s">
        <v>140</v>
      </c>
      <c r="D200" s="7" t="s">
        <v>316</v>
      </c>
      <c r="E200" s="7" t="s">
        <v>329</v>
      </c>
      <c r="F200" s="7" t="s">
        <v>318</v>
      </c>
      <c r="G200" s="7" t="s">
        <v>337</v>
      </c>
      <c r="H200" s="7" t="s">
        <v>403</v>
      </c>
      <c r="I200" s="8" t="n">
        <f aca="false">Part_Marks!G34</f>
        <v>1</v>
      </c>
      <c r="J200" s="8" t="n">
        <v>2</v>
      </c>
      <c r="K200" s="8" t="n">
        <f aca="false">J200-I200</f>
        <v>1</v>
      </c>
      <c r="L200" s="7" t="s">
        <v>315</v>
      </c>
    </row>
    <row r="201" customFormat="false" ht="23.85" hidden="false" customHeight="false" outlineLevel="0" collapsed="false">
      <c r="A201" s="7" t="s">
        <v>164</v>
      </c>
      <c r="B201" s="7" t="s">
        <v>165</v>
      </c>
      <c r="C201" s="7" t="s">
        <v>140</v>
      </c>
      <c r="D201" s="7" t="s">
        <v>310</v>
      </c>
      <c r="E201" s="7" t="s">
        <v>317</v>
      </c>
      <c r="F201" s="7" t="s">
        <v>318</v>
      </c>
      <c r="G201" s="7" t="s">
        <v>330</v>
      </c>
      <c r="H201" s="7" t="s">
        <v>368</v>
      </c>
      <c r="I201" s="8" t="n">
        <f aca="false">Part_Marks!H34</f>
        <v>2.5</v>
      </c>
      <c r="J201" s="8" t="n">
        <v>4</v>
      </c>
      <c r="K201" s="8" t="n">
        <f aca="false">J201-I201</f>
        <v>1.5</v>
      </c>
      <c r="L201" s="7" t="s">
        <v>315</v>
      </c>
    </row>
    <row r="202" customFormat="false" ht="23.85" hidden="false" customHeight="false" outlineLevel="0" collapsed="false">
      <c r="A202" s="7" t="s">
        <v>164</v>
      </c>
      <c r="B202" s="7" t="s">
        <v>165</v>
      </c>
      <c r="C202" s="7" t="s">
        <v>140</v>
      </c>
      <c r="D202" s="7" t="s">
        <v>321</v>
      </c>
      <c r="E202" s="7" t="s">
        <v>329</v>
      </c>
      <c r="F202" s="7" t="s">
        <v>318</v>
      </c>
      <c r="G202" s="7" t="s">
        <v>347</v>
      </c>
      <c r="H202" s="7" t="s">
        <v>348</v>
      </c>
      <c r="I202" s="8" t="n">
        <f aca="false">Part_Marks!I34</f>
        <v>1.5</v>
      </c>
      <c r="J202" s="8" t="n">
        <v>2</v>
      </c>
      <c r="K202" s="8" t="n">
        <f aca="false">J202-I202</f>
        <v>0.5</v>
      </c>
      <c r="L202" s="7" t="s">
        <v>315</v>
      </c>
    </row>
    <row r="203" customFormat="false" ht="15" hidden="false" customHeight="false" outlineLevel="0" collapsed="false">
      <c r="A203" s="7" t="s">
        <v>164</v>
      </c>
      <c r="B203" s="7" t="s">
        <v>165</v>
      </c>
      <c r="C203" s="7" t="s">
        <v>49</v>
      </c>
      <c r="D203" s="7" t="s">
        <v>325</v>
      </c>
      <c r="E203" s="7" t="s">
        <v>326</v>
      </c>
      <c r="F203" s="7" t="s">
        <v>318</v>
      </c>
      <c r="G203" s="7" t="s">
        <v>337</v>
      </c>
      <c r="H203" s="7" t="s">
        <v>349</v>
      </c>
      <c r="I203" s="8" t="n">
        <f aca="false">Part_Marks!J34</f>
        <v>1</v>
      </c>
      <c r="J203" s="8" t="n">
        <v>2</v>
      </c>
      <c r="K203" s="8" t="n">
        <f aca="false">J203-I203</f>
        <v>1</v>
      </c>
      <c r="L203" s="7" t="s">
        <v>315</v>
      </c>
    </row>
    <row r="204" customFormat="false" ht="23.85" hidden="false" customHeight="false" outlineLevel="0" collapsed="false">
      <c r="A204" s="7" t="s">
        <v>164</v>
      </c>
      <c r="B204" s="7" t="s">
        <v>165</v>
      </c>
      <c r="C204" s="7" t="s">
        <v>49</v>
      </c>
      <c r="D204" s="7" t="s">
        <v>316</v>
      </c>
      <c r="E204" s="7" t="s">
        <v>322</v>
      </c>
      <c r="F204" s="7" t="s">
        <v>318</v>
      </c>
      <c r="G204" s="7" t="s">
        <v>330</v>
      </c>
      <c r="H204" s="7" t="s">
        <v>386</v>
      </c>
      <c r="I204" s="8" t="n">
        <f aca="false">Part_Marks!K34</f>
        <v>1</v>
      </c>
      <c r="J204" s="8" t="n">
        <v>2</v>
      </c>
      <c r="K204" s="8" t="n">
        <f aca="false">J204-I204</f>
        <v>1</v>
      </c>
      <c r="L204" s="7" t="s">
        <v>315</v>
      </c>
    </row>
    <row r="205" customFormat="false" ht="23.85" hidden="false" customHeight="false" outlineLevel="0" collapsed="false">
      <c r="A205" s="7" t="s">
        <v>164</v>
      </c>
      <c r="B205" s="7" t="s">
        <v>165</v>
      </c>
      <c r="C205" s="7" t="s">
        <v>49</v>
      </c>
      <c r="D205" s="7" t="s">
        <v>310</v>
      </c>
      <c r="E205" s="7" t="s">
        <v>329</v>
      </c>
      <c r="F205" s="7" t="s">
        <v>318</v>
      </c>
      <c r="G205" s="7" t="s">
        <v>330</v>
      </c>
      <c r="H205" s="7" t="s">
        <v>408</v>
      </c>
      <c r="I205" s="8" t="n">
        <f aca="false">Part_Marks!L34</f>
        <v>2.5</v>
      </c>
      <c r="J205" s="8" t="n">
        <v>4</v>
      </c>
      <c r="K205" s="8" t="n">
        <f aca="false">J205-I205</f>
        <v>1.5</v>
      </c>
      <c r="L205" s="7" t="s">
        <v>315</v>
      </c>
    </row>
    <row r="206" customFormat="false" ht="23.85" hidden="false" customHeight="false" outlineLevel="0" collapsed="false">
      <c r="A206" s="7" t="s">
        <v>164</v>
      </c>
      <c r="B206" s="7" t="s">
        <v>165</v>
      </c>
      <c r="C206" s="7" t="s">
        <v>49</v>
      </c>
      <c r="D206" s="7" t="s">
        <v>321</v>
      </c>
      <c r="E206" s="7" t="s">
        <v>394</v>
      </c>
      <c r="F206" s="7" t="s">
        <v>312</v>
      </c>
      <c r="G206" s="7" t="s">
        <v>313</v>
      </c>
      <c r="H206" s="7" t="s">
        <v>395</v>
      </c>
      <c r="I206" s="8" t="n">
        <f aca="false">Part_Marks!M34</f>
        <v>2</v>
      </c>
      <c r="J206" s="8" t="n">
        <v>2</v>
      </c>
      <c r="K206" s="8" t="n">
        <f aca="false">J206-I206</f>
        <v>0</v>
      </c>
      <c r="L206" s="7" t="s">
        <v>315</v>
      </c>
    </row>
    <row r="207" customFormat="false" ht="15" hidden="false" customHeight="false" outlineLevel="0" collapsed="false">
      <c r="A207" s="7" t="s">
        <v>164</v>
      </c>
      <c r="B207" s="7" t="s">
        <v>165</v>
      </c>
      <c r="C207" s="7" t="s">
        <v>232</v>
      </c>
      <c r="D207" s="7" t="s">
        <v>325</v>
      </c>
      <c r="E207" s="7" t="s">
        <v>326</v>
      </c>
      <c r="F207" s="7" t="s">
        <v>318</v>
      </c>
      <c r="G207" s="7" t="s">
        <v>330</v>
      </c>
      <c r="H207" s="7" t="s">
        <v>393</v>
      </c>
      <c r="I207" s="8" t="n">
        <f aca="false">Part_Marks!N34</f>
        <v>1</v>
      </c>
      <c r="J207" s="8" t="n">
        <v>2</v>
      </c>
      <c r="K207" s="8" t="n">
        <f aca="false">J207-I207</f>
        <v>1</v>
      </c>
      <c r="L207" s="7" t="s">
        <v>315</v>
      </c>
    </row>
    <row r="208" customFormat="false" ht="23.85" hidden="false" customHeight="false" outlineLevel="0" collapsed="false">
      <c r="A208" s="7" t="s">
        <v>164</v>
      </c>
      <c r="B208" s="7" t="s">
        <v>165</v>
      </c>
      <c r="C208" s="7" t="s">
        <v>232</v>
      </c>
      <c r="D208" s="7" t="s">
        <v>310</v>
      </c>
      <c r="E208" s="7" t="s">
        <v>322</v>
      </c>
      <c r="F208" s="7" t="s">
        <v>318</v>
      </c>
      <c r="G208" s="7" t="s">
        <v>330</v>
      </c>
      <c r="H208" s="7" t="s">
        <v>340</v>
      </c>
      <c r="I208" s="8" t="n">
        <f aca="false">Part_Marks!P34</f>
        <v>3</v>
      </c>
      <c r="J208" s="8" t="n">
        <v>4</v>
      </c>
      <c r="K208" s="8" t="n">
        <f aca="false">J208-I208</f>
        <v>1</v>
      </c>
      <c r="L208" s="7" t="s">
        <v>315</v>
      </c>
    </row>
    <row r="209" customFormat="false" ht="15" hidden="false" customHeight="false" outlineLevel="0" collapsed="false">
      <c r="A209" s="7" t="s">
        <v>164</v>
      </c>
      <c r="B209" s="7" t="s">
        <v>165</v>
      </c>
      <c r="C209" s="7" t="s">
        <v>185</v>
      </c>
      <c r="D209" s="7" t="s">
        <v>305</v>
      </c>
      <c r="E209" s="7" t="s">
        <v>306</v>
      </c>
      <c r="F209" s="7" t="s">
        <v>307</v>
      </c>
      <c r="G209" s="7" t="s">
        <v>308</v>
      </c>
      <c r="H209" s="7" t="s">
        <v>309</v>
      </c>
      <c r="I209" s="8" t="n">
        <v>0</v>
      </c>
      <c r="J209" s="8" t="n">
        <v>10</v>
      </c>
      <c r="K209" s="8" t="n">
        <f aca="false">J209-I209</f>
        <v>10</v>
      </c>
      <c r="L209" s="7" t="s">
        <v>306</v>
      </c>
    </row>
    <row r="210" customFormat="false" ht="15" hidden="false" customHeight="false" outlineLevel="0" collapsed="false">
      <c r="A210" s="7" t="s">
        <v>167</v>
      </c>
      <c r="B210" s="7" t="s">
        <v>168</v>
      </c>
      <c r="C210" s="7" t="s">
        <v>185</v>
      </c>
      <c r="D210" s="7" t="s">
        <v>325</v>
      </c>
      <c r="E210" s="7" t="s">
        <v>322</v>
      </c>
      <c r="F210" s="7" t="s">
        <v>318</v>
      </c>
      <c r="G210" s="7" t="s">
        <v>319</v>
      </c>
      <c r="H210" s="7" t="s">
        <v>409</v>
      </c>
      <c r="I210" s="8" t="n">
        <f aca="false">Part_Marks!C35</f>
        <v>3</v>
      </c>
      <c r="J210" s="8" t="n">
        <v>4</v>
      </c>
      <c r="K210" s="8" t="n">
        <f aca="false">J210-I210</f>
        <v>1</v>
      </c>
      <c r="L210" s="7" t="s">
        <v>315</v>
      </c>
    </row>
    <row r="211" customFormat="false" ht="15" hidden="false" customHeight="false" outlineLevel="0" collapsed="false">
      <c r="A211" s="7" t="s">
        <v>167</v>
      </c>
      <c r="B211" s="7" t="s">
        <v>168</v>
      </c>
      <c r="C211" s="7" t="s">
        <v>185</v>
      </c>
      <c r="D211" s="7" t="s">
        <v>316</v>
      </c>
      <c r="E211" s="7" t="s">
        <v>317</v>
      </c>
      <c r="F211" s="7" t="s">
        <v>318</v>
      </c>
      <c r="G211" s="7" t="s">
        <v>327</v>
      </c>
      <c r="H211" s="7" t="s">
        <v>398</v>
      </c>
      <c r="I211" s="8" t="n">
        <f aca="false">Part_Marks!D35</f>
        <v>2</v>
      </c>
      <c r="J211" s="8" t="n">
        <v>3</v>
      </c>
      <c r="K211" s="8" t="n">
        <f aca="false">J211-I211</f>
        <v>1</v>
      </c>
      <c r="L211" s="7" t="s">
        <v>315</v>
      </c>
    </row>
    <row r="212" customFormat="false" ht="23.85" hidden="false" customHeight="false" outlineLevel="0" collapsed="false">
      <c r="A212" s="7" t="s">
        <v>167</v>
      </c>
      <c r="B212" s="7" t="s">
        <v>168</v>
      </c>
      <c r="C212" s="7" t="s">
        <v>185</v>
      </c>
      <c r="D212" s="7" t="s">
        <v>310</v>
      </c>
      <c r="E212" s="7" t="s">
        <v>326</v>
      </c>
      <c r="F212" s="7" t="s">
        <v>318</v>
      </c>
      <c r="G212" s="7" t="s">
        <v>344</v>
      </c>
      <c r="H212" s="7" t="s">
        <v>345</v>
      </c>
      <c r="I212" s="8" t="n">
        <f aca="false">Part_Marks!E35</f>
        <v>0</v>
      </c>
      <c r="J212" s="8" t="n">
        <v>3</v>
      </c>
      <c r="K212" s="8" t="n">
        <f aca="false">J212-I212</f>
        <v>3</v>
      </c>
      <c r="L212" s="7" t="s">
        <v>315</v>
      </c>
    </row>
    <row r="213" customFormat="false" ht="15" hidden="false" customHeight="false" outlineLevel="0" collapsed="false">
      <c r="A213" s="7" t="s">
        <v>167</v>
      </c>
      <c r="B213" s="7" t="s">
        <v>168</v>
      </c>
      <c r="C213" s="7" t="s">
        <v>49</v>
      </c>
      <c r="D213" s="7" t="s">
        <v>325</v>
      </c>
      <c r="E213" s="7" t="s">
        <v>322</v>
      </c>
      <c r="F213" s="7" t="s">
        <v>318</v>
      </c>
      <c r="G213" s="7" t="s">
        <v>337</v>
      </c>
      <c r="H213" s="7" t="s">
        <v>376</v>
      </c>
      <c r="I213" s="8" t="n">
        <f aca="false">Part_Marks!J35</f>
        <v>0</v>
      </c>
      <c r="J213" s="8" t="n">
        <v>2</v>
      </c>
      <c r="K213" s="8" t="n">
        <f aca="false">J213-I213</f>
        <v>2</v>
      </c>
      <c r="L213" s="7" t="s">
        <v>315</v>
      </c>
    </row>
    <row r="214" customFormat="false" ht="15" hidden="false" customHeight="false" outlineLevel="0" collapsed="false">
      <c r="A214" s="7" t="s">
        <v>167</v>
      </c>
      <c r="B214" s="7" t="s">
        <v>168</v>
      </c>
      <c r="C214" s="7" t="s">
        <v>49</v>
      </c>
      <c r="D214" s="7" t="s">
        <v>316</v>
      </c>
      <c r="E214" s="7" t="s">
        <v>317</v>
      </c>
      <c r="F214" s="7" t="s">
        <v>318</v>
      </c>
      <c r="G214" s="7" t="s">
        <v>319</v>
      </c>
      <c r="H214" s="7" t="s">
        <v>320</v>
      </c>
      <c r="I214" s="8" t="n">
        <f aca="false">Part_Marks!K35</f>
        <v>1.5</v>
      </c>
      <c r="J214" s="8" t="n">
        <v>2</v>
      </c>
      <c r="K214" s="8" t="n">
        <f aca="false">J214-I214</f>
        <v>0.5</v>
      </c>
      <c r="L214" s="7" t="s">
        <v>315</v>
      </c>
    </row>
    <row r="215" customFormat="false" ht="15" hidden="false" customHeight="false" outlineLevel="0" collapsed="false">
      <c r="A215" s="7" t="s">
        <v>167</v>
      </c>
      <c r="B215" s="7" t="s">
        <v>168</v>
      </c>
      <c r="C215" s="7" t="s">
        <v>49</v>
      </c>
      <c r="D215" s="7" t="s">
        <v>310</v>
      </c>
      <c r="E215" s="7" t="s">
        <v>317</v>
      </c>
      <c r="F215" s="7" t="s">
        <v>318</v>
      </c>
      <c r="G215" s="7" t="s">
        <v>330</v>
      </c>
      <c r="H215" s="7" t="s">
        <v>352</v>
      </c>
      <c r="I215" s="8" t="n">
        <f aca="false">Part_Marks!L35</f>
        <v>3</v>
      </c>
      <c r="J215" s="8" t="n">
        <v>4</v>
      </c>
      <c r="K215" s="8" t="n">
        <f aca="false">J215-I215</f>
        <v>1</v>
      </c>
      <c r="L215" s="7" t="s">
        <v>315</v>
      </c>
    </row>
    <row r="216" customFormat="false" ht="15" hidden="false" customHeight="false" outlineLevel="0" collapsed="false">
      <c r="A216" s="7" t="s">
        <v>167</v>
      </c>
      <c r="B216" s="7" t="s">
        <v>168</v>
      </c>
      <c r="C216" s="7" t="s">
        <v>49</v>
      </c>
      <c r="D216" s="7" t="s">
        <v>321</v>
      </c>
      <c r="E216" s="7" t="s">
        <v>322</v>
      </c>
      <c r="F216" s="7" t="s">
        <v>318</v>
      </c>
      <c r="G216" s="7" t="s">
        <v>337</v>
      </c>
      <c r="H216" s="7" t="s">
        <v>379</v>
      </c>
      <c r="I216" s="8" t="n">
        <f aca="false">Part_Marks!M35</f>
        <v>0</v>
      </c>
      <c r="J216" s="8" t="n">
        <v>2</v>
      </c>
      <c r="K216" s="8" t="n">
        <f aca="false">J216-I216</f>
        <v>2</v>
      </c>
      <c r="L216" s="7" t="s">
        <v>315</v>
      </c>
    </row>
    <row r="217" customFormat="false" ht="15" hidden="false" customHeight="false" outlineLevel="0" collapsed="false">
      <c r="A217" s="7" t="s">
        <v>167</v>
      </c>
      <c r="B217" s="7" t="s">
        <v>168</v>
      </c>
      <c r="C217" s="7" t="s">
        <v>232</v>
      </c>
      <c r="D217" s="7" t="s">
        <v>325</v>
      </c>
      <c r="E217" s="7" t="s">
        <v>326</v>
      </c>
      <c r="F217" s="7" t="s">
        <v>318</v>
      </c>
      <c r="G217" s="7" t="s">
        <v>330</v>
      </c>
      <c r="H217" s="7" t="s">
        <v>393</v>
      </c>
      <c r="I217" s="8" t="n">
        <f aca="false">Part_Marks!N35</f>
        <v>1</v>
      </c>
      <c r="J217" s="8" t="n">
        <v>2</v>
      </c>
      <c r="K217" s="8" t="n">
        <f aca="false">J217-I217</f>
        <v>1</v>
      </c>
      <c r="L217" s="7" t="s">
        <v>315</v>
      </c>
    </row>
    <row r="218" customFormat="false" ht="23.85" hidden="false" customHeight="false" outlineLevel="0" collapsed="false">
      <c r="A218" s="7" t="s">
        <v>167</v>
      </c>
      <c r="B218" s="7" t="s">
        <v>168</v>
      </c>
      <c r="C218" s="7" t="s">
        <v>232</v>
      </c>
      <c r="D218" s="7" t="s">
        <v>316</v>
      </c>
      <c r="E218" s="7" t="s">
        <v>326</v>
      </c>
      <c r="F218" s="7" t="s">
        <v>318</v>
      </c>
      <c r="G218" s="7" t="s">
        <v>337</v>
      </c>
      <c r="H218" s="7" t="s">
        <v>381</v>
      </c>
      <c r="I218" s="8" t="n">
        <f aca="false">Part_Marks!O35</f>
        <v>0</v>
      </c>
      <c r="J218" s="8" t="n">
        <v>2</v>
      </c>
      <c r="K218" s="8" t="n">
        <f aca="false">J218-I218</f>
        <v>2</v>
      </c>
      <c r="L218" s="7" t="s">
        <v>315</v>
      </c>
    </row>
    <row r="219" customFormat="false" ht="23.85" hidden="false" customHeight="false" outlineLevel="0" collapsed="false">
      <c r="A219" s="7" t="s">
        <v>167</v>
      </c>
      <c r="B219" s="7" t="s">
        <v>168</v>
      </c>
      <c r="C219" s="7" t="s">
        <v>232</v>
      </c>
      <c r="D219" s="7" t="s">
        <v>310</v>
      </c>
      <c r="E219" s="7" t="s">
        <v>329</v>
      </c>
      <c r="F219" s="7" t="s">
        <v>318</v>
      </c>
      <c r="G219" s="7" t="s">
        <v>337</v>
      </c>
      <c r="H219" s="7" t="s">
        <v>382</v>
      </c>
      <c r="I219" s="8" t="n">
        <f aca="false">Part_Marks!P35</f>
        <v>1</v>
      </c>
      <c r="J219" s="8" t="n">
        <v>4</v>
      </c>
      <c r="K219" s="8" t="n">
        <f aca="false">J219-I219</f>
        <v>3</v>
      </c>
      <c r="L219" s="7" t="s">
        <v>315</v>
      </c>
    </row>
    <row r="220" customFormat="false" ht="23.85" hidden="false" customHeight="false" outlineLevel="0" collapsed="false">
      <c r="A220" s="7" t="s">
        <v>167</v>
      </c>
      <c r="B220" s="7" t="s">
        <v>168</v>
      </c>
      <c r="C220" s="7" t="s">
        <v>232</v>
      </c>
      <c r="D220" s="7" t="s">
        <v>321</v>
      </c>
      <c r="E220" s="7" t="s">
        <v>326</v>
      </c>
      <c r="F220" s="7" t="s">
        <v>318</v>
      </c>
      <c r="G220" s="7" t="s">
        <v>337</v>
      </c>
      <c r="H220" s="7" t="s">
        <v>341</v>
      </c>
      <c r="I220" s="8" t="n">
        <f aca="false">Part_Marks!Q35</f>
        <v>1</v>
      </c>
      <c r="J220" s="8" t="n">
        <v>2</v>
      </c>
      <c r="K220" s="8" t="n">
        <f aca="false">J220-I220</f>
        <v>1</v>
      </c>
      <c r="L220" s="7" t="s">
        <v>315</v>
      </c>
    </row>
    <row r="221" customFormat="false" ht="15" hidden="false" customHeight="false" outlineLevel="0" collapsed="false">
      <c r="A221" s="7" t="s">
        <v>167</v>
      </c>
      <c r="B221" s="7" t="s">
        <v>168</v>
      </c>
      <c r="C221" s="7" t="s">
        <v>140</v>
      </c>
      <c r="D221" s="7" t="s">
        <v>305</v>
      </c>
      <c r="E221" s="7" t="s">
        <v>306</v>
      </c>
      <c r="F221" s="7" t="s">
        <v>307</v>
      </c>
      <c r="G221" s="7" t="s">
        <v>308</v>
      </c>
      <c r="H221" s="7" t="s">
        <v>309</v>
      </c>
      <c r="I221" s="8" t="n">
        <v>0</v>
      </c>
      <c r="J221" s="8" t="n">
        <v>10</v>
      </c>
      <c r="K221" s="8" t="n">
        <f aca="false">J221-I221</f>
        <v>10</v>
      </c>
      <c r="L221" s="7" t="s">
        <v>306</v>
      </c>
    </row>
    <row r="222" customFormat="false" ht="15" hidden="false" customHeight="false" outlineLevel="0" collapsed="false">
      <c r="A222" s="7" t="s">
        <v>170</v>
      </c>
      <c r="B222" s="7" t="s">
        <v>171</v>
      </c>
      <c r="C222" s="7" t="s">
        <v>185</v>
      </c>
      <c r="D222" s="7" t="s">
        <v>325</v>
      </c>
      <c r="E222" s="7" t="s">
        <v>388</v>
      </c>
      <c r="F222" s="7" t="s">
        <v>318</v>
      </c>
      <c r="G222" s="7" t="s">
        <v>389</v>
      </c>
      <c r="H222" s="7" t="s">
        <v>390</v>
      </c>
      <c r="I222" s="8" t="n">
        <f aca="false">Part_Marks!C36</f>
        <v>3.5</v>
      </c>
      <c r="J222" s="8" t="n">
        <v>4</v>
      </c>
      <c r="K222" s="8" t="n">
        <f aca="false">J222-I222</f>
        <v>0.5</v>
      </c>
      <c r="L222" s="7" t="s">
        <v>315</v>
      </c>
    </row>
    <row r="223" customFormat="false" ht="15" hidden="false" customHeight="false" outlineLevel="0" collapsed="false">
      <c r="A223" s="7" t="s">
        <v>170</v>
      </c>
      <c r="B223" s="7" t="s">
        <v>171</v>
      </c>
      <c r="C223" s="7" t="s">
        <v>185</v>
      </c>
      <c r="D223" s="7" t="s">
        <v>316</v>
      </c>
      <c r="E223" s="7" t="s">
        <v>326</v>
      </c>
      <c r="F223" s="7" t="s">
        <v>318</v>
      </c>
      <c r="G223" s="7" t="s">
        <v>319</v>
      </c>
      <c r="H223" s="7" t="s">
        <v>343</v>
      </c>
      <c r="I223" s="8" t="n">
        <f aca="false">Part_Marks!D36</f>
        <v>1.5</v>
      </c>
      <c r="J223" s="8" t="n">
        <v>3</v>
      </c>
      <c r="K223" s="8" t="n">
        <f aca="false">J223-I223</f>
        <v>1.5</v>
      </c>
      <c r="L223" s="7" t="s">
        <v>315</v>
      </c>
    </row>
    <row r="224" customFormat="false" ht="15" hidden="false" customHeight="false" outlineLevel="0" collapsed="false">
      <c r="A224" s="7" t="s">
        <v>170</v>
      </c>
      <c r="B224" s="7" t="s">
        <v>171</v>
      </c>
      <c r="C224" s="7" t="s">
        <v>185</v>
      </c>
      <c r="D224" s="7" t="s">
        <v>310</v>
      </c>
      <c r="E224" s="7" t="s">
        <v>388</v>
      </c>
      <c r="F224" s="7" t="s">
        <v>318</v>
      </c>
      <c r="G224" s="7" t="s">
        <v>389</v>
      </c>
      <c r="H224" s="7" t="s">
        <v>410</v>
      </c>
      <c r="I224" s="8" t="n">
        <f aca="false">Part_Marks!E36</f>
        <v>2.5</v>
      </c>
      <c r="J224" s="8" t="n">
        <v>3</v>
      </c>
      <c r="K224" s="8" t="n">
        <f aca="false">J224-I224</f>
        <v>0.5</v>
      </c>
      <c r="L224" s="7" t="s">
        <v>315</v>
      </c>
    </row>
    <row r="225" customFormat="false" ht="15" hidden="false" customHeight="false" outlineLevel="0" collapsed="false">
      <c r="A225" s="7" t="s">
        <v>170</v>
      </c>
      <c r="B225" s="7" t="s">
        <v>171</v>
      </c>
      <c r="C225" s="7" t="s">
        <v>140</v>
      </c>
      <c r="D225" s="7" t="s">
        <v>316</v>
      </c>
      <c r="E225" s="7" t="s">
        <v>388</v>
      </c>
      <c r="F225" s="7" t="s">
        <v>318</v>
      </c>
      <c r="G225" s="7" t="s">
        <v>389</v>
      </c>
      <c r="H225" s="7" t="s">
        <v>411</v>
      </c>
      <c r="I225" s="8" t="n">
        <f aca="false">Part_Marks!G36</f>
        <v>1.5</v>
      </c>
      <c r="J225" s="8" t="n">
        <v>2</v>
      </c>
      <c r="K225" s="8" t="n">
        <f aca="false">J225-I225</f>
        <v>0.5</v>
      </c>
      <c r="L225" s="7" t="s">
        <v>315</v>
      </c>
    </row>
    <row r="226" customFormat="false" ht="15" hidden="false" customHeight="false" outlineLevel="0" collapsed="false">
      <c r="A226" s="7" t="s">
        <v>170</v>
      </c>
      <c r="B226" s="7" t="s">
        <v>171</v>
      </c>
      <c r="C226" s="7" t="s">
        <v>49</v>
      </c>
      <c r="D226" s="7" t="s">
        <v>325</v>
      </c>
      <c r="E226" s="7" t="s">
        <v>329</v>
      </c>
      <c r="F226" s="7" t="s">
        <v>318</v>
      </c>
      <c r="G226" s="7" t="s">
        <v>319</v>
      </c>
      <c r="H226" s="7" t="s">
        <v>385</v>
      </c>
      <c r="I226" s="8" t="n">
        <f aca="false">Part_Marks!J36</f>
        <v>1</v>
      </c>
      <c r="J226" s="8" t="n">
        <v>2</v>
      </c>
      <c r="K226" s="8" t="n">
        <f aca="false">J226-I226</f>
        <v>1</v>
      </c>
      <c r="L226" s="7" t="s">
        <v>315</v>
      </c>
    </row>
    <row r="227" customFormat="false" ht="23.85" hidden="false" customHeight="false" outlineLevel="0" collapsed="false">
      <c r="A227" s="7" t="s">
        <v>170</v>
      </c>
      <c r="B227" s="7" t="s">
        <v>171</v>
      </c>
      <c r="C227" s="7" t="s">
        <v>49</v>
      </c>
      <c r="D227" s="7" t="s">
        <v>316</v>
      </c>
      <c r="E227" s="7" t="s">
        <v>412</v>
      </c>
      <c r="F227" s="7" t="s">
        <v>318</v>
      </c>
      <c r="G227" s="7" t="s">
        <v>389</v>
      </c>
      <c r="H227" s="7" t="s">
        <v>413</v>
      </c>
      <c r="I227" s="8" t="n">
        <f aca="false">Part_Marks!K36</f>
        <v>1.5</v>
      </c>
      <c r="J227" s="8" t="n">
        <v>2</v>
      </c>
      <c r="K227" s="8" t="n">
        <f aca="false">J227-I227</f>
        <v>0.5</v>
      </c>
      <c r="L227" s="7" t="s">
        <v>315</v>
      </c>
    </row>
    <row r="228" customFormat="false" ht="15" hidden="false" customHeight="false" outlineLevel="0" collapsed="false">
      <c r="A228" s="7" t="s">
        <v>170</v>
      </c>
      <c r="B228" s="7" t="s">
        <v>171</v>
      </c>
      <c r="C228" s="7" t="s">
        <v>232</v>
      </c>
      <c r="D228" s="7" t="s">
        <v>305</v>
      </c>
      <c r="E228" s="7" t="s">
        <v>306</v>
      </c>
      <c r="F228" s="7" t="s">
        <v>307</v>
      </c>
      <c r="G228" s="7" t="s">
        <v>308</v>
      </c>
      <c r="H228" s="7" t="s">
        <v>309</v>
      </c>
      <c r="I228" s="8" t="n">
        <v>0</v>
      </c>
      <c r="J228" s="8" t="n">
        <v>10</v>
      </c>
      <c r="K228" s="8" t="n">
        <f aca="false">J228-I228</f>
        <v>10</v>
      </c>
      <c r="L228" s="7" t="s">
        <v>306</v>
      </c>
    </row>
    <row r="229" customFormat="false" ht="15" hidden="false" customHeight="false" outlineLevel="0" collapsed="false">
      <c r="A229" s="7" t="s">
        <v>175</v>
      </c>
      <c r="B229" s="7" t="s">
        <v>176</v>
      </c>
      <c r="C229" s="7" t="s">
        <v>140</v>
      </c>
      <c r="D229" s="7" t="s">
        <v>321</v>
      </c>
      <c r="E229" s="7" t="s">
        <v>317</v>
      </c>
      <c r="F229" s="7" t="s">
        <v>318</v>
      </c>
      <c r="G229" s="7" t="s">
        <v>319</v>
      </c>
      <c r="H229" s="7" t="s">
        <v>399</v>
      </c>
      <c r="I229" s="8" t="n">
        <f aca="false">Part_Marks!I37</f>
        <v>1</v>
      </c>
      <c r="J229" s="8" t="n">
        <v>2</v>
      </c>
      <c r="K229" s="8" t="n">
        <f aca="false">J229-I229</f>
        <v>1</v>
      </c>
      <c r="L229" s="7" t="s">
        <v>315</v>
      </c>
    </row>
    <row r="230" customFormat="false" ht="15" hidden="false" customHeight="false" outlineLevel="0" collapsed="false">
      <c r="A230" s="7" t="s">
        <v>175</v>
      </c>
      <c r="B230" s="7" t="s">
        <v>176</v>
      </c>
      <c r="C230" s="7" t="s">
        <v>49</v>
      </c>
      <c r="D230" s="7" t="s">
        <v>310</v>
      </c>
      <c r="E230" s="7" t="s">
        <v>317</v>
      </c>
      <c r="F230" s="7" t="s">
        <v>318</v>
      </c>
      <c r="G230" s="7" t="s">
        <v>330</v>
      </c>
      <c r="H230" s="7" t="s">
        <v>352</v>
      </c>
      <c r="I230" s="8" t="n">
        <f aca="false">Part_Marks!L37</f>
        <v>3</v>
      </c>
      <c r="J230" s="8" t="n">
        <v>4</v>
      </c>
      <c r="K230" s="8" t="n">
        <f aca="false">J230-I230</f>
        <v>1</v>
      </c>
      <c r="L230" s="7" t="s">
        <v>315</v>
      </c>
    </row>
    <row r="231" customFormat="false" ht="15" hidden="false" customHeight="false" outlineLevel="0" collapsed="false">
      <c r="A231" s="7" t="s">
        <v>175</v>
      </c>
      <c r="B231" s="7" t="s">
        <v>176</v>
      </c>
      <c r="C231" s="7" t="s">
        <v>232</v>
      </c>
      <c r="D231" s="7" t="s">
        <v>305</v>
      </c>
      <c r="E231" s="7" t="s">
        <v>306</v>
      </c>
      <c r="F231" s="7" t="s">
        <v>307</v>
      </c>
      <c r="G231" s="7" t="s">
        <v>308</v>
      </c>
      <c r="H231" s="7" t="s">
        <v>309</v>
      </c>
      <c r="I231" s="8" t="n">
        <v>0</v>
      </c>
      <c r="J231" s="8" t="n">
        <v>10</v>
      </c>
      <c r="K231" s="8" t="n">
        <f aca="false">J231-I231</f>
        <v>10</v>
      </c>
      <c r="L231" s="7" t="s">
        <v>306</v>
      </c>
    </row>
    <row r="232" customFormat="false" ht="23.85" hidden="false" customHeight="false" outlineLevel="0" collapsed="false">
      <c r="A232" s="7" t="s">
        <v>179</v>
      </c>
      <c r="B232" s="7" t="s">
        <v>180</v>
      </c>
      <c r="C232" s="7" t="s">
        <v>49</v>
      </c>
      <c r="D232" s="7" t="s">
        <v>310</v>
      </c>
      <c r="E232" s="7" t="s">
        <v>329</v>
      </c>
      <c r="F232" s="7" t="s">
        <v>318</v>
      </c>
      <c r="G232" s="7" t="s">
        <v>330</v>
      </c>
      <c r="H232" s="7" t="s">
        <v>408</v>
      </c>
      <c r="I232" s="8" t="n">
        <f aca="false">Part_Marks!L38</f>
        <v>2.5</v>
      </c>
      <c r="J232" s="8" t="n">
        <v>4</v>
      </c>
      <c r="K232" s="8" t="n">
        <f aca="false">J232-I232</f>
        <v>1.5</v>
      </c>
      <c r="L232" s="7" t="s">
        <v>315</v>
      </c>
    </row>
    <row r="233" customFormat="false" ht="15" hidden="false" customHeight="false" outlineLevel="0" collapsed="false">
      <c r="A233" s="7" t="s">
        <v>179</v>
      </c>
      <c r="B233" s="7" t="s">
        <v>180</v>
      </c>
      <c r="C233" s="7" t="s">
        <v>185</v>
      </c>
      <c r="D233" s="7" t="s">
        <v>305</v>
      </c>
      <c r="E233" s="7" t="s">
        <v>306</v>
      </c>
      <c r="F233" s="7" t="s">
        <v>307</v>
      </c>
      <c r="G233" s="7" t="s">
        <v>308</v>
      </c>
      <c r="H233" s="7" t="s">
        <v>309</v>
      </c>
      <c r="I233" s="8" t="n">
        <v>0</v>
      </c>
      <c r="J233" s="8" t="n">
        <v>10</v>
      </c>
      <c r="K233" s="8" t="n">
        <f aca="false">J233-I233</f>
        <v>10</v>
      </c>
      <c r="L233" s="7" t="s">
        <v>306</v>
      </c>
    </row>
    <row r="234" customFormat="false" ht="15" hidden="false" customHeight="false" outlineLevel="0" collapsed="false">
      <c r="A234" s="7" t="s">
        <v>179</v>
      </c>
      <c r="B234" s="7" t="s">
        <v>180</v>
      </c>
      <c r="C234" s="7" t="s">
        <v>140</v>
      </c>
      <c r="D234" s="7" t="s">
        <v>305</v>
      </c>
      <c r="E234" s="7" t="s">
        <v>306</v>
      </c>
      <c r="F234" s="7" t="s">
        <v>307</v>
      </c>
      <c r="G234" s="7" t="s">
        <v>308</v>
      </c>
      <c r="H234" s="7" t="s">
        <v>309</v>
      </c>
      <c r="I234" s="8" t="n">
        <v>0</v>
      </c>
      <c r="J234" s="8" t="n">
        <v>10</v>
      </c>
      <c r="K234" s="8" t="n">
        <f aca="false">J234-I234</f>
        <v>10</v>
      </c>
      <c r="L234" s="7" t="s">
        <v>306</v>
      </c>
    </row>
    <row r="235" customFormat="false" ht="15" hidden="false" customHeight="false" outlineLevel="0" collapsed="false">
      <c r="A235" s="7" t="s">
        <v>183</v>
      </c>
      <c r="B235" s="7" t="s">
        <v>184</v>
      </c>
      <c r="C235" s="7" t="s">
        <v>185</v>
      </c>
      <c r="D235" s="7" t="s">
        <v>325</v>
      </c>
      <c r="E235" s="7" t="s">
        <v>329</v>
      </c>
      <c r="F235" s="7" t="s">
        <v>318</v>
      </c>
      <c r="G235" s="7" t="s">
        <v>337</v>
      </c>
      <c r="H235" s="7" t="s">
        <v>342</v>
      </c>
      <c r="I235" s="8" t="n">
        <f aca="false">Part_Marks!C39</f>
        <v>2</v>
      </c>
      <c r="J235" s="8" t="n">
        <v>4</v>
      </c>
      <c r="K235" s="8" t="n">
        <f aca="false">J235-I235</f>
        <v>2</v>
      </c>
      <c r="L235" s="7" t="s">
        <v>350</v>
      </c>
    </row>
    <row r="236" customFormat="false" ht="15" hidden="false" customHeight="false" outlineLevel="0" collapsed="false">
      <c r="A236" s="7" t="s">
        <v>183</v>
      </c>
      <c r="B236" s="7" t="s">
        <v>184</v>
      </c>
      <c r="C236" s="7" t="s">
        <v>185</v>
      </c>
      <c r="D236" s="7" t="s">
        <v>316</v>
      </c>
      <c r="E236" s="7" t="s">
        <v>329</v>
      </c>
      <c r="F236" s="7" t="s">
        <v>318</v>
      </c>
      <c r="G236" s="7" t="s">
        <v>330</v>
      </c>
      <c r="H236" s="7" t="s">
        <v>331</v>
      </c>
      <c r="I236" s="8" t="n">
        <f aca="false">Part_Marks!D39</f>
        <v>2.5</v>
      </c>
      <c r="J236" s="8" t="n">
        <v>3</v>
      </c>
      <c r="K236" s="8" t="n">
        <f aca="false">J236-I236</f>
        <v>0.5</v>
      </c>
      <c r="L236" s="7" t="s">
        <v>350</v>
      </c>
    </row>
    <row r="237" customFormat="false" ht="15" hidden="false" customHeight="false" outlineLevel="0" collapsed="false">
      <c r="A237" s="7" t="s">
        <v>183</v>
      </c>
      <c r="B237" s="7" t="s">
        <v>184</v>
      </c>
      <c r="C237" s="7" t="s">
        <v>140</v>
      </c>
      <c r="D237" s="7" t="s">
        <v>316</v>
      </c>
      <c r="E237" s="7" t="s">
        <v>329</v>
      </c>
      <c r="F237" s="7" t="s">
        <v>318</v>
      </c>
      <c r="G237" s="7" t="s">
        <v>337</v>
      </c>
      <c r="H237" s="7" t="s">
        <v>403</v>
      </c>
      <c r="I237" s="8" t="n">
        <f aca="false">Part_Marks!G39</f>
        <v>1</v>
      </c>
      <c r="J237" s="8" t="n">
        <v>2</v>
      </c>
      <c r="K237" s="8" t="n">
        <f aca="false">J237-I237</f>
        <v>1</v>
      </c>
      <c r="L237" s="7" t="s">
        <v>315</v>
      </c>
    </row>
    <row r="238" customFormat="false" ht="23.85" hidden="false" customHeight="false" outlineLevel="0" collapsed="false">
      <c r="A238" s="7" t="s">
        <v>183</v>
      </c>
      <c r="B238" s="7" t="s">
        <v>184</v>
      </c>
      <c r="C238" s="7" t="s">
        <v>49</v>
      </c>
      <c r="D238" s="7" t="s">
        <v>321</v>
      </c>
      <c r="E238" s="7" t="s">
        <v>326</v>
      </c>
      <c r="F238" s="7" t="s">
        <v>318</v>
      </c>
      <c r="G238" s="7" t="s">
        <v>337</v>
      </c>
      <c r="H238" s="7" t="s">
        <v>353</v>
      </c>
      <c r="I238" s="8" t="n">
        <f aca="false">Part_Marks!M39</f>
        <v>1</v>
      </c>
      <c r="J238" s="8" t="n">
        <v>2</v>
      </c>
      <c r="K238" s="8" t="n">
        <f aca="false">J238-I238</f>
        <v>1</v>
      </c>
      <c r="L238" s="7" t="s">
        <v>315</v>
      </c>
    </row>
    <row r="239" customFormat="false" ht="15" hidden="false" customHeight="false" outlineLevel="0" collapsed="false">
      <c r="A239" s="7" t="s">
        <v>183</v>
      </c>
      <c r="B239" s="7" t="s">
        <v>184</v>
      </c>
      <c r="C239" s="7" t="s">
        <v>232</v>
      </c>
      <c r="D239" s="7" t="s">
        <v>310</v>
      </c>
      <c r="E239" s="7" t="s">
        <v>317</v>
      </c>
      <c r="F239" s="7" t="s">
        <v>318</v>
      </c>
      <c r="G239" s="7" t="s">
        <v>337</v>
      </c>
      <c r="H239" s="7" t="s">
        <v>397</v>
      </c>
      <c r="I239" s="8" t="n">
        <f aca="false">Part_Marks!P39</f>
        <v>2.5</v>
      </c>
      <c r="J239" s="8" t="n">
        <v>4</v>
      </c>
      <c r="K239" s="8" t="n">
        <f aca="false">J239-I239</f>
        <v>1.5</v>
      </c>
      <c r="L239" s="7" t="s">
        <v>315</v>
      </c>
    </row>
    <row r="240" customFormat="false" ht="23.85" hidden="false" customHeight="false" outlineLevel="0" collapsed="false">
      <c r="A240" s="7" t="s">
        <v>183</v>
      </c>
      <c r="B240" s="7" t="s">
        <v>184</v>
      </c>
      <c r="C240" s="7" t="s">
        <v>232</v>
      </c>
      <c r="D240" s="7" t="s">
        <v>321</v>
      </c>
      <c r="E240" s="7" t="s">
        <v>322</v>
      </c>
      <c r="F240" s="7" t="s">
        <v>318</v>
      </c>
      <c r="G240" s="7" t="s">
        <v>323</v>
      </c>
      <c r="H240" s="7" t="s">
        <v>324</v>
      </c>
      <c r="I240" s="8" t="n">
        <f aca="false">Part_Marks!Q39</f>
        <v>1.5</v>
      </c>
      <c r="J240" s="8" t="n">
        <v>2</v>
      </c>
      <c r="K240" s="8" t="n">
        <f aca="false">J240-I240</f>
        <v>0.5</v>
      </c>
      <c r="L240" s="7" t="s">
        <v>315</v>
      </c>
    </row>
    <row r="241" customFormat="false" ht="15" hidden="false" customHeight="false" outlineLevel="0" collapsed="false">
      <c r="A241" s="7" t="s">
        <v>183</v>
      </c>
      <c r="B241" s="7" t="s">
        <v>184</v>
      </c>
      <c r="C241" s="7" t="s">
        <v>185</v>
      </c>
      <c r="D241" s="7" t="s">
        <v>305</v>
      </c>
      <c r="E241" s="7" t="s">
        <v>306</v>
      </c>
      <c r="F241" s="7" t="s">
        <v>8</v>
      </c>
      <c r="G241" s="7" t="s">
        <v>356</v>
      </c>
      <c r="H241" s="7" t="s">
        <v>357</v>
      </c>
      <c r="I241" s="8" t="n">
        <f aca="false">SUM(Part_Marks!C39:E39)</f>
        <v>7.5</v>
      </c>
      <c r="J241" s="8" t="n">
        <v>10</v>
      </c>
      <c r="K241" s="8" t="n">
        <f aca="false">J241-I241</f>
        <v>2.5</v>
      </c>
      <c r="L241" s="7" t="s">
        <v>350</v>
      </c>
    </row>
    <row r="242" customFormat="false" ht="15" hidden="false" customHeight="false" outlineLevel="0" collapsed="false">
      <c r="A242" s="7" t="s">
        <v>188</v>
      </c>
      <c r="B242" s="7" t="s">
        <v>189</v>
      </c>
      <c r="C242" s="7" t="s">
        <v>185</v>
      </c>
      <c r="D242" s="7" t="s">
        <v>325</v>
      </c>
      <c r="E242" s="7" t="s">
        <v>322</v>
      </c>
      <c r="F242" s="7" t="s">
        <v>318</v>
      </c>
      <c r="G242" s="7" t="s">
        <v>319</v>
      </c>
      <c r="H242" s="7" t="s">
        <v>409</v>
      </c>
      <c r="I242" s="8" t="n">
        <f aca="false">Part_Marks!C40</f>
        <v>3</v>
      </c>
      <c r="J242" s="8" t="n">
        <v>4</v>
      </c>
      <c r="K242" s="8" t="n">
        <f aca="false">J242-I242</f>
        <v>1</v>
      </c>
      <c r="L242" s="7" t="s">
        <v>315</v>
      </c>
    </row>
    <row r="243" customFormat="false" ht="23.85" hidden="false" customHeight="false" outlineLevel="0" collapsed="false">
      <c r="A243" s="7" t="s">
        <v>188</v>
      </c>
      <c r="B243" s="7" t="s">
        <v>189</v>
      </c>
      <c r="C243" s="7" t="s">
        <v>140</v>
      </c>
      <c r="D243" s="7" t="s">
        <v>316</v>
      </c>
      <c r="E243" s="7" t="s">
        <v>326</v>
      </c>
      <c r="F243" s="7" t="s">
        <v>318</v>
      </c>
      <c r="G243" s="7" t="s">
        <v>330</v>
      </c>
      <c r="H243" s="7" t="s">
        <v>335</v>
      </c>
      <c r="I243" s="8" t="n">
        <f aca="false">Part_Marks!G40</f>
        <v>1</v>
      </c>
      <c r="J243" s="8" t="n">
        <v>2</v>
      </c>
      <c r="K243" s="8" t="n">
        <f aca="false">J243-I243</f>
        <v>1</v>
      </c>
      <c r="L243" s="7" t="s">
        <v>315</v>
      </c>
    </row>
    <row r="244" customFormat="false" ht="23.85" hidden="false" customHeight="false" outlineLevel="0" collapsed="false">
      <c r="A244" s="7" t="s">
        <v>188</v>
      </c>
      <c r="B244" s="7" t="s">
        <v>189</v>
      </c>
      <c r="C244" s="7" t="s">
        <v>140</v>
      </c>
      <c r="D244" s="7" t="s">
        <v>321</v>
      </c>
      <c r="E244" s="7" t="s">
        <v>322</v>
      </c>
      <c r="F244" s="7" t="s">
        <v>318</v>
      </c>
      <c r="G244" s="7" t="s">
        <v>337</v>
      </c>
      <c r="H244" s="7" t="s">
        <v>375</v>
      </c>
      <c r="I244" s="8" t="n">
        <f aca="false">Part_Marks!I40</f>
        <v>1</v>
      </c>
      <c r="J244" s="8" t="n">
        <v>2</v>
      </c>
      <c r="K244" s="8" t="n">
        <f aca="false">J244-I244</f>
        <v>1</v>
      </c>
      <c r="L244" s="7" t="s">
        <v>315</v>
      </c>
    </row>
    <row r="245" customFormat="false" ht="15" hidden="false" customHeight="false" outlineLevel="0" collapsed="false">
      <c r="A245" s="7" t="s">
        <v>188</v>
      </c>
      <c r="B245" s="7" t="s">
        <v>189</v>
      </c>
      <c r="C245" s="7" t="s">
        <v>49</v>
      </c>
      <c r="D245" s="7" t="s">
        <v>310</v>
      </c>
      <c r="E245" s="7" t="s">
        <v>326</v>
      </c>
      <c r="F245" s="7" t="s">
        <v>318</v>
      </c>
      <c r="G245" s="7" t="s">
        <v>333</v>
      </c>
      <c r="H245" s="7" t="s">
        <v>387</v>
      </c>
      <c r="I245" s="8" t="n">
        <f aca="false">Part_Marks!L40</f>
        <v>2</v>
      </c>
      <c r="J245" s="8" t="n">
        <v>4</v>
      </c>
      <c r="K245" s="8" t="n">
        <f aca="false">J245-I245</f>
        <v>2</v>
      </c>
      <c r="L245" s="7" t="s">
        <v>315</v>
      </c>
    </row>
    <row r="246" customFormat="false" ht="23.85" hidden="false" customHeight="false" outlineLevel="0" collapsed="false">
      <c r="A246" s="7" t="s">
        <v>188</v>
      </c>
      <c r="B246" s="7" t="s">
        <v>189</v>
      </c>
      <c r="C246" s="7" t="s">
        <v>49</v>
      </c>
      <c r="D246" s="7" t="s">
        <v>321</v>
      </c>
      <c r="E246" s="7" t="s">
        <v>329</v>
      </c>
      <c r="F246" s="7" t="s">
        <v>318</v>
      </c>
      <c r="G246" s="7" t="s">
        <v>369</v>
      </c>
      <c r="H246" s="7" t="s">
        <v>370</v>
      </c>
      <c r="I246" s="8" t="n">
        <f aca="false">Part_Marks!M40</f>
        <v>1</v>
      </c>
      <c r="J246" s="8" t="n">
        <v>2</v>
      </c>
      <c r="K246" s="8" t="n">
        <f aca="false">J246-I246</f>
        <v>1</v>
      </c>
      <c r="L246" s="7" t="s">
        <v>315</v>
      </c>
    </row>
    <row r="247" customFormat="false" ht="15" hidden="false" customHeight="false" outlineLevel="0" collapsed="false">
      <c r="A247" s="7" t="s">
        <v>192</v>
      </c>
      <c r="B247" s="7" t="s">
        <v>193</v>
      </c>
      <c r="C247" s="7" t="s">
        <v>185</v>
      </c>
      <c r="D247" s="7" t="s">
        <v>316</v>
      </c>
      <c r="E247" s="7" t="s">
        <v>317</v>
      </c>
      <c r="F247" s="7" t="s">
        <v>318</v>
      </c>
      <c r="G247" s="7" t="s">
        <v>327</v>
      </c>
      <c r="H247" s="7" t="s">
        <v>398</v>
      </c>
      <c r="I247" s="8" t="n">
        <f aca="false">Part_Marks!D41</f>
        <v>2</v>
      </c>
      <c r="J247" s="8" t="n">
        <v>3</v>
      </c>
      <c r="K247" s="8" t="n">
        <f aca="false">J247-I247</f>
        <v>1</v>
      </c>
      <c r="L247" s="7" t="s">
        <v>315</v>
      </c>
    </row>
    <row r="248" customFormat="false" ht="15" hidden="false" customHeight="false" outlineLevel="0" collapsed="false">
      <c r="A248" s="7" t="s">
        <v>192</v>
      </c>
      <c r="B248" s="7" t="s">
        <v>193</v>
      </c>
      <c r="C248" s="7" t="s">
        <v>49</v>
      </c>
      <c r="D248" s="7" t="s">
        <v>325</v>
      </c>
      <c r="E248" s="7" t="s">
        <v>322</v>
      </c>
      <c r="F248" s="7" t="s">
        <v>318</v>
      </c>
      <c r="G248" s="7" t="s">
        <v>337</v>
      </c>
      <c r="H248" s="7" t="s">
        <v>376</v>
      </c>
      <c r="I248" s="8" t="n">
        <f aca="false">Part_Marks!J41</f>
        <v>0</v>
      </c>
      <c r="J248" s="8" t="n">
        <v>2</v>
      </c>
      <c r="K248" s="8" t="n">
        <f aca="false">J248-I248</f>
        <v>2</v>
      </c>
      <c r="L248" s="7" t="s">
        <v>315</v>
      </c>
    </row>
    <row r="249" customFormat="false" ht="23.85" hidden="false" customHeight="false" outlineLevel="0" collapsed="false">
      <c r="A249" s="7" t="s">
        <v>192</v>
      </c>
      <c r="B249" s="7" t="s">
        <v>193</v>
      </c>
      <c r="C249" s="7" t="s">
        <v>49</v>
      </c>
      <c r="D249" s="7" t="s">
        <v>321</v>
      </c>
      <c r="E249" s="7" t="s">
        <v>394</v>
      </c>
      <c r="F249" s="7" t="s">
        <v>312</v>
      </c>
      <c r="G249" s="7" t="s">
        <v>313</v>
      </c>
      <c r="H249" s="7" t="s">
        <v>395</v>
      </c>
      <c r="I249" s="8" t="n">
        <f aca="false">Part_Marks!M41</f>
        <v>2</v>
      </c>
      <c r="J249" s="8" t="n">
        <v>2</v>
      </c>
      <c r="K249" s="8" t="n">
        <f aca="false">J249-I249</f>
        <v>0</v>
      </c>
      <c r="L249" s="7" t="s">
        <v>315</v>
      </c>
    </row>
    <row r="250" customFormat="false" ht="15" hidden="false" customHeight="false" outlineLevel="0" collapsed="false">
      <c r="A250" s="7" t="s">
        <v>192</v>
      </c>
      <c r="B250" s="7" t="s">
        <v>193</v>
      </c>
      <c r="C250" s="7" t="s">
        <v>232</v>
      </c>
      <c r="D250" s="7" t="s">
        <v>325</v>
      </c>
      <c r="E250" s="7" t="s">
        <v>326</v>
      </c>
      <c r="F250" s="7" t="s">
        <v>318</v>
      </c>
      <c r="G250" s="7" t="s">
        <v>330</v>
      </c>
      <c r="H250" s="7" t="s">
        <v>393</v>
      </c>
      <c r="I250" s="8" t="n">
        <f aca="false">Part_Marks!N41</f>
        <v>1</v>
      </c>
      <c r="J250" s="8" t="n">
        <v>2</v>
      </c>
      <c r="K250" s="8" t="n">
        <f aca="false">J250-I250</f>
        <v>1</v>
      </c>
      <c r="L250" s="7" t="s">
        <v>315</v>
      </c>
    </row>
    <row r="251" customFormat="false" ht="15" hidden="false" customHeight="false" outlineLevel="0" collapsed="false">
      <c r="A251" s="7" t="s">
        <v>192</v>
      </c>
      <c r="B251" s="7" t="s">
        <v>193</v>
      </c>
      <c r="C251" s="7" t="s">
        <v>232</v>
      </c>
      <c r="D251" s="7" t="s">
        <v>316</v>
      </c>
      <c r="E251" s="7" t="s">
        <v>322</v>
      </c>
      <c r="F251" s="7" t="s">
        <v>318</v>
      </c>
      <c r="G251" s="7" t="s">
        <v>330</v>
      </c>
      <c r="H251" s="7" t="s">
        <v>354</v>
      </c>
      <c r="I251" s="8" t="n">
        <f aca="false">Part_Marks!O41</f>
        <v>1</v>
      </c>
      <c r="J251" s="8" t="n">
        <v>2</v>
      </c>
      <c r="K251" s="8" t="n">
        <f aca="false">J251-I251</f>
        <v>1</v>
      </c>
      <c r="L251" s="7" t="s">
        <v>315</v>
      </c>
    </row>
    <row r="252" customFormat="false" ht="15" hidden="false" customHeight="false" outlineLevel="0" collapsed="false">
      <c r="A252" s="7" t="s">
        <v>192</v>
      </c>
      <c r="B252" s="7" t="s">
        <v>193</v>
      </c>
      <c r="C252" s="7" t="s">
        <v>232</v>
      </c>
      <c r="D252" s="7" t="s">
        <v>321</v>
      </c>
      <c r="E252" s="7" t="s">
        <v>317</v>
      </c>
      <c r="F252" s="7" t="s">
        <v>318</v>
      </c>
      <c r="G252" s="7" t="s">
        <v>347</v>
      </c>
      <c r="H252" s="7" t="s">
        <v>355</v>
      </c>
      <c r="I252" s="8" t="n">
        <f aca="false">Part_Marks!Q41</f>
        <v>1</v>
      </c>
      <c r="J252" s="8" t="n">
        <v>2</v>
      </c>
      <c r="K252" s="8" t="n">
        <f aca="false">J252-I252</f>
        <v>1</v>
      </c>
      <c r="L252" s="7" t="s">
        <v>315</v>
      </c>
    </row>
    <row r="253" customFormat="false" ht="15" hidden="false" customHeight="false" outlineLevel="0" collapsed="false">
      <c r="A253" s="7" t="s">
        <v>192</v>
      </c>
      <c r="B253" s="7" t="s">
        <v>193</v>
      </c>
      <c r="C253" s="7" t="s">
        <v>140</v>
      </c>
      <c r="D253" s="7" t="s">
        <v>305</v>
      </c>
      <c r="E253" s="7" t="s">
        <v>306</v>
      </c>
      <c r="F253" s="7" t="s">
        <v>307</v>
      </c>
      <c r="G253" s="7" t="s">
        <v>308</v>
      </c>
      <c r="H253" s="7" t="s">
        <v>309</v>
      </c>
      <c r="I253" s="8" t="n">
        <v>0</v>
      </c>
      <c r="J253" s="8" t="n">
        <v>10</v>
      </c>
      <c r="K253" s="8" t="n">
        <f aca="false">J253-I253</f>
        <v>10</v>
      </c>
      <c r="L253" s="7" t="s">
        <v>306</v>
      </c>
    </row>
    <row r="254" customFormat="false" ht="15" hidden="false" customHeight="false" outlineLevel="0" collapsed="false">
      <c r="A254" s="7" t="s">
        <v>195</v>
      </c>
      <c r="B254" s="7" t="s">
        <v>196</v>
      </c>
      <c r="C254" s="7" t="s">
        <v>49</v>
      </c>
      <c r="D254" s="7" t="s">
        <v>310</v>
      </c>
      <c r="E254" s="7" t="s">
        <v>317</v>
      </c>
      <c r="F254" s="7" t="s">
        <v>318</v>
      </c>
      <c r="G254" s="7" t="s">
        <v>330</v>
      </c>
      <c r="H254" s="7" t="s">
        <v>352</v>
      </c>
      <c r="I254" s="8" t="n">
        <f aca="false">Part_Marks!L42</f>
        <v>3</v>
      </c>
      <c r="J254" s="8" t="n">
        <v>4</v>
      </c>
      <c r="K254" s="8" t="n">
        <f aca="false">J254-I254</f>
        <v>1</v>
      </c>
      <c r="L254" s="7" t="s">
        <v>315</v>
      </c>
    </row>
    <row r="255" customFormat="false" ht="15" hidden="false" customHeight="false" outlineLevel="0" collapsed="false">
      <c r="A255" s="7" t="s">
        <v>195</v>
      </c>
      <c r="B255" s="7" t="s">
        <v>196</v>
      </c>
      <c r="C255" s="7" t="s">
        <v>232</v>
      </c>
      <c r="D255" s="7" t="s">
        <v>321</v>
      </c>
      <c r="E255" s="7" t="s">
        <v>317</v>
      </c>
      <c r="F255" s="7" t="s">
        <v>318</v>
      </c>
      <c r="G255" s="7" t="s">
        <v>347</v>
      </c>
      <c r="H255" s="7" t="s">
        <v>355</v>
      </c>
      <c r="I255" s="8" t="n">
        <f aca="false">Part_Marks!Q42</f>
        <v>1</v>
      </c>
      <c r="J255" s="8" t="n">
        <v>2</v>
      </c>
      <c r="K255" s="8" t="n">
        <f aca="false">J255-I255</f>
        <v>1</v>
      </c>
      <c r="L255" s="7" t="s">
        <v>315</v>
      </c>
    </row>
    <row r="256" customFormat="false" ht="15" hidden="false" customHeight="false" outlineLevel="0" collapsed="false">
      <c r="A256" s="7" t="s">
        <v>195</v>
      </c>
      <c r="B256" s="7" t="s">
        <v>196</v>
      </c>
      <c r="C256" s="7" t="s">
        <v>140</v>
      </c>
      <c r="D256" s="7" t="s">
        <v>305</v>
      </c>
      <c r="E256" s="7" t="s">
        <v>306</v>
      </c>
      <c r="F256" s="7" t="s">
        <v>307</v>
      </c>
      <c r="G256" s="7" t="s">
        <v>308</v>
      </c>
      <c r="H256" s="7" t="s">
        <v>309</v>
      </c>
      <c r="I256" s="8" t="n">
        <v>0</v>
      </c>
      <c r="J256" s="8" t="n">
        <v>10</v>
      </c>
      <c r="K256" s="8" t="n">
        <f aca="false">J256-I256</f>
        <v>10</v>
      </c>
      <c r="L256" s="7" t="s">
        <v>306</v>
      </c>
    </row>
    <row r="257" customFormat="false" ht="15" hidden="false" customHeight="false" outlineLevel="0" collapsed="false">
      <c r="A257" s="7" t="s">
        <v>198</v>
      </c>
      <c r="B257" s="7" t="s">
        <v>199</v>
      </c>
      <c r="C257" s="7" t="s">
        <v>185</v>
      </c>
      <c r="D257" s="7" t="s">
        <v>310</v>
      </c>
      <c r="E257" s="7" t="s">
        <v>317</v>
      </c>
      <c r="F257" s="7" t="s">
        <v>318</v>
      </c>
      <c r="G257" s="7" t="s">
        <v>405</v>
      </c>
      <c r="H257" s="7" t="s">
        <v>406</v>
      </c>
      <c r="I257" s="8" t="n">
        <f aca="false">Part_Marks!E43</f>
        <v>2.5</v>
      </c>
      <c r="J257" s="8" t="n">
        <v>3</v>
      </c>
      <c r="K257" s="8" t="n">
        <f aca="false">J257-I257</f>
        <v>0.5</v>
      </c>
      <c r="L257" s="7" t="s">
        <v>315</v>
      </c>
    </row>
    <row r="258" customFormat="false" ht="15" hidden="false" customHeight="false" outlineLevel="0" collapsed="false">
      <c r="A258" s="7" t="s">
        <v>198</v>
      </c>
      <c r="B258" s="7" t="s">
        <v>199</v>
      </c>
      <c r="C258" s="7" t="s">
        <v>140</v>
      </c>
      <c r="D258" s="7" t="s">
        <v>321</v>
      </c>
      <c r="E258" s="7" t="s">
        <v>317</v>
      </c>
      <c r="F258" s="7" t="s">
        <v>318</v>
      </c>
      <c r="G258" s="7" t="s">
        <v>319</v>
      </c>
      <c r="H258" s="7" t="s">
        <v>399</v>
      </c>
      <c r="I258" s="8" t="n">
        <f aca="false">Part_Marks!I43</f>
        <v>1</v>
      </c>
      <c r="J258" s="8" t="n">
        <v>2</v>
      </c>
      <c r="K258" s="8" t="n">
        <f aca="false">J258-I258</f>
        <v>1</v>
      </c>
      <c r="L258" s="7" t="s">
        <v>315</v>
      </c>
    </row>
    <row r="259" customFormat="false" ht="23.85" hidden="false" customHeight="false" outlineLevel="0" collapsed="false">
      <c r="A259" s="7" t="s">
        <v>198</v>
      </c>
      <c r="B259" s="7" t="s">
        <v>199</v>
      </c>
      <c r="C259" s="7" t="s">
        <v>232</v>
      </c>
      <c r="D259" s="7" t="s">
        <v>316</v>
      </c>
      <c r="E259" s="7" t="s">
        <v>326</v>
      </c>
      <c r="F259" s="7" t="s">
        <v>318</v>
      </c>
      <c r="G259" s="7" t="s">
        <v>337</v>
      </c>
      <c r="H259" s="7" t="s">
        <v>381</v>
      </c>
      <c r="I259" s="8" t="n">
        <f aca="false">Part_Marks!O43</f>
        <v>0</v>
      </c>
      <c r="J259" s="8" t="n">
        <v>2</v>
      </c>
      <c r="K259" s="8" t="n">
        <f aca="false">J259-I259</f>
        <v>2</v>
      </c>
      <c r="L259" s="7" t="s">
        <v>315</v>
      </c>
    </row>
    <row r="260" customFormat="false" ht="23.85" hidden="false" customHeight="false" outlineLevel="0" collapsed="false">
      <c r="A260" s="7" t="s">
        <v>198</v>
      </c>
      <c r="B260" s="7" t="s">
        <v>199</v>
      </c>
      <c r="C260" s="7" t="s">
        <v>232</v>
      </c>
      <c r="D260" s="7" t="s">
        <v>321</v>
      </c>
      <c r="E260" s="7" t="s">
        <v>329</v>
      </c>
      <c r="F260" s="7" t="s">
        <v>318</v>
      </c>
      <c r="G260" s="7" t="s">
        <v>347</v>
      </c>
      <c r="H260" s="7" t="s">
        <v>372</v>
      </c>
      <c r="I260" s="8" t="n">
        <f aca="false">Part_Marks!Q43</f>
        <v>1.5</v>
      </c>
      <c r="J260" s="8" t="n">
        <v>2</v>
      </c>
      <c r="K260" s="8" t="n">
        <f aca="false">J260-I260</f>
        <v>0.5</v>
      </c>
      <c r="L260" s="7" t="s">
        <v>315</v>
      </c>
    </row>
    <row r="261" customFormat="false" ht="15" hidden="false" customHeight="false" outlineLevel="0" collapsed="false">
      <c r="A261" s="7" t="s">
        <v>198</v>
      </c>
      <c r="B261" s="7" t="s">
        <v>199</v>
      </c>
      <c r="C261" s="7" t="s">
        <v>49</v>
      </c>
      <c r="D261" s="7" t="s">
        <v>305</v>
      </c>
      <c r="E261" s="7" t="s">
        <v>306</v>
      </c>
      <c r="F261" s="7" t="s">
        <v>307</v>
      </c>
      <c r="G261" s="7" t="s">
        <v>308</v>
      </c>
      <c r="H261" s="7" t="s">
        <v>309</v>
      </c>
      <c r="I261" s="8" t="n">
        <v>0</v>
      </c>
      <c r="J261" s="8" t="n">
        <v>10</v>
      </c>
      <c r="K261" s="8" t="n">
        <f aca="false">J261-I261</f>
        <v>10</v>
      </c>
      <c r="L261" s="7" t="s">
        <v>306</v>
      </c>
    </row>
    <row r="262" customFormat="false" ht="15" hidden="false" customHeight="false" outlineLevel="0" collapsed="false">
      <c r="A262" s="7" t="s">
        <v>201</v>
      </c>
      <c r="B262" s="7" t="s">
        <v>202</v>
      </c>
      <c r="C262" s="7" t="s">
        <v>185</v>
      </c>
      <c r="D262" s="7" t="s">
        <v>325</v>
      </c>
      <c r="E262" s="7" t="s">
        <v>329</v>
      </c>
      <c r="F262" s="7" t="s">
        <v>318</v>
      </c>
      <c r="G262" s="7" t="s">
        <v>337</v>
      </c>
      <c r="H262" s="7" t="s">
        <v>342</v>
      </c>
      <c r="I262" s="8" t="n">
        <f aca="false">Part_Marks!C44</f>
        <v>2</v>
      </c>
      <c r="J262" s="8" t="n">
        <v>4</v>
      </c>
      <c r="K262" s="8" t="n">
        <f aca="false">J262-I262</f>
        <v>2</v>
      </c>
      <c r="L262" s="7" t="s">
        <v>315</v>
      </c>
    </row>
    <row r="263" customFormat="false" ht="23.85" hidden="false" customHeight="false" outlineLevel="0" collapsed="false">
      <c r="A263" s="7" t="s">
        <v>201</v>
      </c>
      <c r="B263" s="7" t="s">
        <v>202</v>
      </c>
      <c r="C263" s="7" t="s">
        <v>185</v>
      </c>
      <c r="D263" s="7" t="s">
        <v>310</v>
      </c>
      <c r="E263" s="7" t="s">
        <v>322</v>
      </c>
      <c r="F263" s="7" t="s">
        <v>318</v>
      </c>
      <c r="G263" s="7" t="s">
        <v>383</v>
      </c>
      <c r="H263" s="7" t="s">
        <v>384</v>
      </c>
      <c r="I263" s="8" t="n">
        <f aca="false">Part_Marks!E44</f>
        <v>2</v>
      </c>
      <c r="J263" s="8" t="n">
        <v>3</v>
      </c>
      <c r="K263" s="8" t="n">
        <f aca="false">J263-I263</f>
        <v>1</v>
      </c>
      <c r="L263" s="7" t="s">
        <v>315</v>
      </c>
    </row>
    <row r="264" customFormat="false" ht="15" hidden="false" customHeight="false" outlineLevel="0" collapsed="false">
      <c r="A264" s="7" t="s">
        <v>201</v>
      </c>
      <c r="B264" s="7" t="s">
        <v>202</v>
      </c>
      <c r="C264" s="7" t="s">
        <v>49</v>
      </c>
      <c r="D264" s="7" t="s">
        <v>325</v>
      </c>
      <c r="E264" s="7" t="s">
        <v>326</v>
      </c>
      <c r="F264" s="7" t="s">
        <v>318</v>
      </c>
      <c r="G264" s="7" t="s">
        <v>337</v>
      </c>
      <c r="H264" s="7" t="s">
        <v>349</v>
      </c>
      <c r="I264" s="8" t="n">
        <f aca="false">Part_Marks!J44</f>
        <v>1</v>
      </c>
      <c r="J264" s="8" t="n">
        <v>2</v>
      </c>
      <c r="K264" s="8" t="n">
        <f aca="false">J264-I264</f>
        <v>1</v>
      </c>
      <c r="L264" s="7" t="s">
        <v>315</v>
      </c>
    </row>
    <row r="265" customFormat="false" ht="15" hidden="false" customHeight="false" outlineLevel="0" collapsed="false">
      <c r="A265" s="7" t="s">
        <v>201</v>
      </c>
      <c r="B265" s="7" t="s">
        <v>202</v>
      </c>
      <c r="C265" s="7" t="s">
        <v>49</v>
      </c>
      <c r="D265" s="7" t="s">
        <v>310</v>
      </c>
      <c r="E265" s="7" t="s">
        <v>317</v>
      </c>
      <c r="F265" s="7" t="s">
        <v>318</v>
      </c>
      <c r="G265" s="7" t="s">
        <v>330</v>
      </c>
      <c r="H265" s="7" t="s">
        <v>352</v>
      </c>
      <c r="I265" s="8" t="n">
        <f aca="false">Part_Marks!L44</f>
        <v>3</v>
      </c>
      <c r="J265" s="8" t="n">
        <v>4</v>
      </c>
      <c r="K265" s="8" t="n">
        <f aca="false">J265-I265</f>
        <v>1</v>
      </c>
      <c r="L265" s="7" t="s">
        <v>315</v>
      </c>
    </row>
    <row r="266" customFormat="false" ht="15" hidden="false" customHeight="false" outlineLevel="0" collapsed="false">
      <c r="A266" s="7" t="s">
        <v>201</v>
      </c>
      <c r="B266" s="7" t="s">
        <v>202</v>
      </c>
      <c r="C266" s="7" t="s">
        <v>232</v>
      </c>
      <c r="D266" s="7" t="s">
        <v>310</v>
      </c>
      <c r="E266" s="7" t="s">
        <v>326</v>
      </c>
      <c r="F266" s="7" t="s">
        <v>318</v>
      </c>
      <c r="G266" s="7" t="s">
        <v>333</v>
      </c>
      <c r="H266" s="7" t="s">
        <v>371</v>
      </c>
      <c r="I266" s="8" t="n">
        <f aca="false">Part_Marks!P44</f>
        <v>3</v>
      </c>
      <c r="J266" s="8" t="n">
        <v>4</v>
      </c>
      <c r="K266" s="8" t="n">
        <f aca="false">J266-I266</f>
        <v>1</v>
      </c>
      <c r="L266" s="7" t="s">
        <v>315</v>
      </c>
    </row>
    <row r="267" customFormat="false" ht="23.85" hidden="false" customHeight="false" outlineLevel="0" collapsed="false">
      <c r="A267" s="7" t="s">
        <v>201</v>
      </c>
      <c r="B267" s="7" t="s">
        <v>202</v>
      </c>
      <c r="C267" s="7" t="s">
        <v>232</v>
      </c>
      <c r="D267" s="7" t="s">
        <v>321</v>
      </c>
      <c r="E267" s="7" t="s">
        <v>322</v>
      </c>
      <c r="F267" s="7" t="s">
        <v>318</v>
      </c>
      <c r="G267" s="7" t="s">
        <v>323</v>
      </c>
      <c r="H267" s="7" t="s">
        <v>324</v>
      </c>
      <c r="I267" s="8" t="n">
        <f aca="false">Part_Marks!Q44</f>
        <v>1.5</v>
      </c>
      <c r="J267" s="8" t="n">
        <v>2</v>
      </c>
      <c r="K267" s="8" t="n">
        <f aca="false">J267-I267</f>
        <v>0.5</v>
      </c>
      <c r="L267" s="7" t="s">
        <v>315</v>
      </c>
    </row>
    <row r="268" customFormat="false" ht="15" hidden="false" customHeight="false" outlineLevel="0" collapsed="false">
      <c r="A268" s="7" t="s">
        <v>201</v>
      </c>
      <c r="B268" s="7" t="s">
        <v>202</v>
      </c>
      <c r="C268" s="7" t="s">
        <v>140</v>
      </c>
      <c r="D268" s="7" t="s">
        <v>305</v>
      </c>
      <c r="E268" s="7" t="s">
        <v>306</v>
      </c>
      <c r="F268" s="7" t="s">
        <v>307</v>
      </c>
      <c r="G268" s="7" t="s">
        <v>308</v>
      </c>
      <c r="H268" s="7" t="s">
        <v>309</v>
      </c>
      <c r="I268" s="8" t="n">
        <v>0</v>
      </c>
      <c r="J268" s="8" t="n">
        <v>10</v>
      </c>
      <c r="K268" s="8" t="n">
        <f aca="false">J268-I268</f>
        <v>10</v>
      </c>
      <c r="L268" s="7" t="s">
        <v>306</v>
      </c>
    </row>
    <row r="269" customFormat="false" ht="23.85" hidden="false" customHeight="false" outlineLevel="0" collapsed="false">
      <c r="A269" s="7" t="s">
        <v>204</v>
      </c>
      <c r="B269" s="7" t="s">
        <v>205</v>
      </c>
      <c r="C269" s="7" t="s">
        <v>140</v>
      </c>
      <c r="D269" s="7" t="s">
        <v>316</v>
      </c>
      <c r="E269" s="7" t="s">
        <v>326</v>
      </c>
      <c r="F269" s="7" t="s">
        <v>318</v>
      </c>
      <c r="G269" s="7" t="s">
        <v>330</v>
      </c>
      <c r="H269" s="7" t="s">
        <v>335</v>
      </c>
      <c r="I269" s="8" t="n">
        <f aca="false">Part_Marks!G45</f>
        <v>1</v>
      </c>
      <c r="J269" s="8" t="n">
        <v>2</v>
      </c>
      <c r="K269" s="8" t="n">
        <f aca="false">J269-I269</f>
        <v>1</v>
      </c>
      <c r="L269" s="7" t="s">
        <v>315</v>
      </c>
    </row>
    <row r="270" customFormat="false" ht="23.85" hidden="false" customHeight="false" outlineLevel="0" collapsed="false">
      <c r="A270" s="7" t="s">
        <v>204</v>
      </c>
      <c r="B270" s="7" t="s">
        <v>205</v>
      </c>
      <c r="C270" s="7" t="s">
        <v>140</v>
      </c>
      <c r="D270" s="7" t="s">
        <v>310</v>
      </c>
      <c r="E270" s="7" t="s">
        <v>329</v>
      </c>
      <c r="F270" s="7" t="s">
        <v>318</v>
      </c>
      <c r="G270" s="7" t="s">
        <v>327</v>
      </c>
      <c r="H270" s="7" t="s">
        <v>336</v>
      </c>
      <c r="I270" s="8" t="n">
        <f aca="false">Part_Marks!H45</f>
        <v>2</v>
      </c>
      <c r="J270" s="8" t="n">
        <v>4</v>
      </c>
      <c r="K270" s="8" t="n">
        <f aca="false">J270-I270</f>
        <v>2</v>
      </c>
      <c r="L270" s="7" t="s">
        <v>315</v>
      </c>
    </row>
    <row r="271" customFormat="false" ht="15" hidden="false" customHeight="false" outlineLevel="0" collapsed="false">
      <c r="A271" s="7" t="s">
        <v>204</v>
      </c>
      <c r="B271" s="7" t="s">
        <v>205</v>
      </c>
      <c r="C271" s="7" t="s">
        <v>49</v>
      </c>
      <c r="D271" s="7" t="s">
        <v>310</v>
      </c>
      <c r="E271" s="7" t="s">
        <v>326</v>
      </c>
      <c r="F271" s="7" t="s">
        <v>318</v>
      </c>
      <c r="G271" s="7" t="s">
        <v>333</v>
      </c>
      <c r="H271" s="7" t="s">
        <v>387</v>
      </c>
      <c r="I271" s="8" t="n">
        <f aca="false">Part_Marks!L45</f>
        <v>2</v>
      </c>
      <c r="J271" s="8" t="n">
        <v>4</v>
      </c>
      <c r="K271" s="8" t="n">
        <f aca="false">J271-I271</f>
        <v>2</v>
      </c>
      <c r="L271" s="7" t="s">
        <v>315</v>
      </c>
    </row>
    <row r="272" customFormat="false" ht="23.85" hidden="false" customHeight="false" outlineLevel="0" collapsed="false">
      <c r="A272" s="7" t="s">
        <v>204</v>
      </c>
      <c r="B272" s="7" t="s">
        <v>205</v>
      </c>
      <c r="C272" s="7" t="s">
        <v>49</v>
      </c>
      <c r="D272" s="7" t="s">
        <v>321</v>
      </c>
      <c r="E272" s="7" t="s">
        <v>394</v>
      </c>
      <c r="F272" s="7" t="s">
        <v>312</v>
      </c>
      <c r="G272" s="7" t="s">
        <v>313</v>
      </c>
      <c r="H272" s="7" t="s">
        <v>395</v>
      </c>
      <c r="I272" s="8" t="n">
        <f aca="false">Part_Marks!M45</f>
        <v>2</v>
      </c>
      <c r="J272" s="8" t="n">
        <v>2</v>
      </c>
      <c r="K272" s="8" t="n">
        <f aca="false">J272-I272</f>
        <v>0</v>
      </c>
      <c r="L272" s="7" t="s">
        <v>315</v>
      </c>
    </row>
    <row r="273" customFormat="false" ht="23.85" hidden="false" customHeight="false" outlineLevel="0" collapsed="false">
      <c r="A273" s="7" t="s">
        <v>204</v>
      </c>
      <c r="B273" s="7" t="s">
        <v>205</v>
      </c>
      <c r="C273" s="7" t="s">
        <v>232</v>
      </c>
      <c r="D273" s="7" t="s">
        <v>325</v>
      </c>
      <c r="E273" s="7" t="s">
        <v>322</v>
      </c>
      <c r="F273" s="7" t="s">
        <v>318</v>
      </c>
      <c r="G273" s="7" t="s">
        <v>330</v>
      </c>
      <c r="H273" s="7" t="s">
        <v>396</v>
      </c>
      <c r="I273" s="8" t="n">
        <f aca="false">Part_Marks!N45</f>
        <v>1</v>
      </c>
      <c r="J273" s="8" t="n">
        <v>2</v>
      </c>
      <c r="K273" s="8" t="n">
        <f aca="false">J273-I273</f>
        <v>1</v>
      </c>
      <c r="L273" s="7" t="s">
        <v>315</v>
      </c>
    </row>
    <row r="274" customFormat="false" ht="23.85" hidden="false" customHeight="false" outlineLevel="0" collapsed="false">
      <c r="A274" s="7" t="s">
        <v>204</v>
      </c>
      <c r="B274" s="7" t="s">
        <v>205</v>
      </c>
      <c r="C274" s="7" t="s">
        <v>232</v>
      </c>
      <c r="D274" s="7" t="s">
        <v>310</v>
      </c>
      <c r="E274" s="7" t="s">
        <v>400</v>
      </c>
      <c r="F274" s="7" t="s">
        <v>318</v>
      </c>
      <c r="G274" s="7" t="s">
        <v>401</v>
      </c>
      <c r="H274" s="7" t="s">
        <v>402</v>
      </c>
      <c r="I274" s="8" t="n">
        <f aca="false">Part_Marks!P45</f>
        <v>3.5</v>
      </c>
      <c r="J274" s="8" t="n">
        <v>4</v>
      </c>
      <c r="K274" s="8" t="n">
        <f aca="false">J274-I274</f>
        <v>0.5</v>
      </c>
      <c r="L274" s="7" t="s">
        <v>315</v>
      </c>
    </row>
    <row r="275" customFormat="false" ht="15" hidden="false" customHeight="false" outlineLevel="0" collapsed="false">
      <c r="A275" s="7" t="s">
        <v>204</v>
      </c>
      <c r="B275" s="7" t="s">
        <v>205</v>
      </c>
      <c r="C275" s="7" t="s">
        <v>232</v>
      </c>
      <c r="D275" s="7" t="s">
        <v>321</v>
      </c>
      <c r="E275" s="7" t="s">
        <v>400</v>
      </c>
      <c r="F275" s="7" t="s">
        <v>318</v>
      </c>
      <c r="G275" s="7" t="s">
        <v>319</v>
      </c>
      <c r="H275" s="7" t="s">
        <v>407</v>
      </c>
      <c r="I275" s="8" t="n">
        <f aca="false">Part_Marks!Q45</f>
        <v>1.5</v>
      </c>
      <c r="J275" s="8" t="n">
        <v>2</v>
      </c>
      <c r="K275" s="8" t="n">
        <f aca="false">J275-I275</f>
        <v>0.5</v>
      </c>
      <c r="L275" s="7" t="s">
        <v>315</v>
      </c>
    </row>
    <row r="276" customFormat="false" ht="15" hidden="false" customHeight="false" outlineLevel="0" collapsed="false">
      <c r="A276" s="7" t="s">
        <v>204</v>
      </c>
      <c r="B276" s="7" t="s">
        <v>205</v>
      </c>
      <c r="C276" s="7" t="s">
        <v>185</v>
      </c>
      <c r="D276" s="7" t="s">
        <v>305</v>
      </c>
      <c r="E276" s="7" t="s">
        <v>306</v>
      </c>
      <c r="F276" s="7" t="s">
        <v>307</v>
      </c>
      <c r="G276" s="7" t="s">
        <v>308</v>
      </c>
      <c r="H276" s="7" t="s">
        <v>309</v>
      </c>
      <c r="I276" s="8" t="n">
        <v>0</v>
      </c>
      <c r="J276" s="8" t="n">
        <v>10</v>
      </c>
      <c r="K276" s="8" t="n">
        <f aca="false">J276-I276</f>
        <v>10</v>
      </c>
      <c r="L276" s="7" t="s">
        <v>306</v>
      </c>
    </row>
    <row r="277" customFormat="false" ht="15" hidden="false" customHeight="false" outlineLevel="0" collapsed="false">
      <c r="A277" s="7" t="s">
        <v>207</v>
      </c>
      <c r="B277" s="7" t="s">
        <v>208</v>
      </c>
      <c r="C277" s="7" t="s">
        <v>185</v>
      </c>
      <c r="D277" s="7" t="s">
        <v>316</v>
      </c>
      <c r="E277" s="7" t="s">
        <v>317</v>
      </c>
      <c r="F277" s="7" t="s">
        <v>318</v>
      </c>
      <c r="G277" s="7" t="s">
        <v>327</v>
      </c>
      <c r="H277" s="7" t="s">
        <v>398</v>
      </c>
      <c r="I277" s="8" t="n">
        <f aca="false">Part_Marks!D46</f>
        <v>2</v>
      </c>
      <c r="J277" s="8" t="n">
        <v>3</v>
      </c>
      <c r="K277" s="8" t="n">
        <f aca="false">J277-I277</f>
        <v>1</v>
      </c>
      <c r="L277" s="7" t="s">
        <v>315</v>
      </c>
    </row>
    <row r="278" customFormat="false" ht="23.85" hidden="false" customHeight="false" outlineLevel="0" collapsed="false">
      <c r="A278" s="7" t="s">
        <v>207</v>
      </c>
      <c r="B278" s="7" t="s">
        <v>208</v>
      </c>
      <c r="C278" s="7" t="s">
        <v>185</v>
      </c>
      <c r="D278" s="7" t="s">
        <v>310</v>
      </c>
      <c r="E278" s="7" t="s">
        <v>326</v>
      </c>
      <c r="F278" s="7" t="s">
        <v>318</v>
      </c>
      <c r="G278" s="7" t="s">
        <v>344</v>
      </c>
      <c r="H278" s="7" t="s">
        <v>345</v>
      </c>
      <c r="I278" s="8" t="n">
        <f aca="false">Part_Marks!E46</f>
        <v>0</v>
      </c>
      <c r="J278" s="8" t="n">
        <v>3</v>
      </c>
      <c r="K278" s="8" t="n">
        <f aca="false">J278-I278</f>
        <v>3</v>
      </c>
      <c r="L278" s="7" t="s">
        <v>315</v>
      </c>
    </row>
    <row r="279" customFormat="false" ht="15" hidden="false" customHeight="false" outlineLevel="0" collapsed="false">
      <c r="A279" s="7" t="s">
        <v>207</v>
      </c>
      <c r="B279" s="7" t="s">
        <v>208</v>
      </c>
      <c r="C279" s="7" t="s">
        <v>140</v>
      </c>
      <c r="D279" s="7" t="s">
        <v>325</v>
      </c>
      <c r="E279" s="7" t="s">
        <v>329</v>
      </c>
      <c r="F279" s="7" t="s">
        <v>318</v>
      </c>
      <c r="G279" s="7" t="s">
        <v>333</v>
      </c>
      <c r="H279" s="7" t="s">
        <v>334</v>
      </c>
      <c r="I279" s="8" t="n">
        <f aca="false">Part_Marks!F46</f>
        <v>1.5</v>
      </c>
      <c r="J279" s="8" t="n">
        <v>2</v>
      </c>
      <c r="K279" s="8" t="n">
        <f aca="false">J279-I279</f>
        <v>0.5</v>
      </c>
      <c r="L279" s="7" t="s">
        <v>315</v>
      </c>
    </row>
    <row r="280" customFormat="false" ht="23.85" hidden="false" customHeight="false" outlineLevel="0" collapsed="false">
      <c r="A280" s="7" t="s">
        <v>207</v>
      </c>
      <c r="B280" s="7" t="s">
        <v>208</v>
      </c>
      <c r="C280" s="7" t="s">
        <v>140</v>
      </c>
      <c r="D280" s="7" t="s">
        <v>310</v>
      </c>
      <c r="E280" s="7" t="s">
        <v>322</v>
      </c>
      <c r="F280" s="7" t="s">
        <v>318</v>
      </c>
      <c r="G280" s="7" t="s">
        <v>337</v>
      </c>
      <c r="H280" s="7" t="s">
        <v>374</v>
      </c>
      <c r="I280" s="8" t="n">
        <f aca="false">Part_Marks!H46</f>
        <v>0.5</v>
      </c>
      <c r="J280" s="8" t="n">
        <v>4</v>
      </c>
      <c r="K280" s="8" t="n">
        <f aca="false">J280-I280</f>
        <v>3.5</v>
      </c>
      <c r="L280" s="7" t="s">
        <v>315</v>
      </c>
    </row>
    <row r="281" customFormat="false" ht="23.85" hidden="false" customHeight="false" outlineLevel="0" collapsed="false">
      <c r="A281" s="7" t="s">
        <v>207</v>
      </c>
      <c r="B281" s="7" t="s">
        <v>208</v>
      </c>
      <c r="C281" s="7" t="s">
        <v>140</v>
      </c>
      <c r="D281" s="7" t="s">
        <v>321</v>
      </c>
      <c r="E281" s="7" t="s">
        <v>322</v>
      </c>
      <c r="F281" s="7" t="s">
        <v>318</v>
      </c>
      <c r="G281" s="7" t="s">
        <v>337</v>
      </c>
      <c r="H281" s="7" t="s">
        <v>375</v>
      </c>
      <c r="I281" s="8" t="n">
        <f aca="false">Part_Marks!I46</f>
        <v>1</v>
      </c>
      <c r="J281" s="8" t="n">
        <v>2</v>
      </c>
      <c r="K281" s="8" t="n">
        <f aca="false">J281-I281</f>
        <v>1</v>
      </c>
      <c r="L281" s="7" t="s">
        <v>315</v>
      </c>
    </row>
    <row r="282" customFormat="false" ht="15" hidden="false" customHeight="false" outlineLevel="0" collapsed="false">
      <c r="A282" s="7" t="s">
        <v>207</v>
      </c>
      <c r="B282" s="7" t="s">
        <v>208</v>
      </c>
      <c r="C282" s="7" t="s">
        <v>232</v>
      </c>
      <c r="D282" s="7" t="s">
        <v>325</v>
      </c>
      <c r="E282" s="7" t="s">
        <v>326</v>
      </c>
      <c r="F282" s="7" t="s">
        <v>318</v>
      </c>
      <c r="G282" s="7" t="s">
        <v>330</v>
      </c>
      <c r="H282" s="7" t="s">
        <v>393</v>
      </c>
      <c r="I282" s="8" t="n">
        <f aca="false">Part_Marks!N46</f>
        <v>1</v>
      </c>
      <c r="J282" s="8" t="n">
        <v>2</v>
      </c>
      <c r="K282" s="8" t="n">
        <f aca="false">J282-I282</f>
        <v>1</v>
      </c>
      <c r="L282" s="7" t="s">
        <v>315</v>
      </c>
    </row>
    <row r="283" customFormat="false" ht="23.85" hidden="false" customHeight="false" outlineLevel="0" collapsed="false">
      <c r="A283" s="7" t="s">
        <v>207</v>
      </c>
      <c r="B283" s="7" t="s">
        <v>208</v>
      </c>
      <c r="C283" s="7" t="s">
        <v>232</v>
      </c>
      <c r="D283" s="7" t="s">
        <v>316</v>
      </c>
      <c r="E283" s="7" t="s">
        <v>326</v>
      </c>
      <c r="F283" s="7" t="s">
        <v>318</v>
      </c>
      <c r="G283" s="7" t="s">
        <v>337</v>
      </c>
      <c r="H283" s="7" t="s">
        <v>381</v>
      </c>
      <c r="I283" s="8" t="n">
        <f aca="false">Part_Marks!O46</f>
        <v>0</v>
      </c>
      <c r="J283" s="8" t="n">
        <v>2</v>
      </c>
      <c r="K283" s="8" t="n">
        <f aca="false">J283-I283</f>
        <v>2</v>
      </c>
      <c r="L283" s="7" t="s">
        <v>315</v>
      </c>
    </row>
    <row r="284" customFormat="false" ht="23.85" hidden="false" customHeight="false" outlineLevel="0" collapsed="false">
      <c r="A284" s="7" t="s">
        <v>207</v>
      </c>
      <c r="B284" s="7" t="s">
        <v>208</v>
      </c>
      <c r="C284" s="7" t="s">
        <v>232</v>
      </c>
      <c r="D284" s="7" t="s">
        <v>310</v>
      </c>
      <c r="E284" s="7" t="s">
        <v>329</v>
      </c>
      <c r="F284" s="7" t="s">
        <v>318</v>
      </c>
      <c r="G284" s="7" t="s">
        <v>337</v>
      </c>
      <c r="H284" s="7" t="s">
        <v>382</v>
      </c>
      <c r="I284" s="8" t="n">
        <f aca="false">Part_Marks!P46</f>
        <v>1</v>
      </c>
      <c r="J284" s="8" t="n">
        <v>4</v>
      </c>
      <c r="K284" s="8" t="n">
        <f aca="false">J284-I284</f>
        <v>3</v>
      </c>
      <c r="L284" s="7" t="s">
        <v>315</v>
      </c>
    </row>
    <row r="285" customFormat="false" ht="23.85" hidden="false" customHeight="false" outlineLevel="0" collapsed="false">
      <c r="A285" s="7" t="s">
        <v>207</v>
      </c>
      <c r="B285" s="7" t="s">
        <v>208</v>
      </c>
      <c r="C285" s="7" t="s">
        <v>232</v>
      </c>
      <c r="D285" s="7" t="s">
        <v>321</v>
      </c>
      <c r="E285" s="7" t="s">
        <v>322</v>
      </c>
      <c r="F285" s="7" t="s">
        <v>318</v>
      </c>
      <c r="G285" s="7" t="s">
        <v>323</v>
      </c>
      <c r="H285" s="7" t="s">
        <v>324</v>
      </c>
      <c r="I285" s="8" t="n">
        <f aca="false">Part_Marks!Q46</f>
        <v>1.5</v>
      </c>
      <c r="J285" s="8" t="n">
        <v>2</v>
      </c>
      <c r="K285" s="8" t="n">
        <f aca="false">J285-I285</f>
        <v>0.5</v>
      </c>
      <c r="L285" s="7" t="s">
        <v>315</v>
      </c>
    </row>
    <row r="286" customFormat="false" ht="15" hidden="false" customHeight="false" outlineLevel="0" collapsed="false">
      <c r="A286" s="7" t="s">
        <v>207</v>
      </c>
      <c r="B286" s="7" t="s">
        <v>208</v>
      </c>
      <c r="C286" s="7" t="s">
        <v>49</v>
      </c>
      <c r="D286" s="7" t="s">
        <v>305</v>
      </c>
      <c r="E286" s="7" t="s">
        <v>306</v>
      </c>
      <c r="F286" s="7" t="s">
        <v>307</v>
      </c>
      <c r="G286" s="7" t="s">
        <v>308</v>
      </c>
      <c r="H286" s="7" t="s">
        <v>309</v>
      </c>
      <c r="I286" s="8" t="n">
        <v>0</v>
      </c>
      <c r="J286" s="8" t="n">
        <v>10</v>
      </c>
      <c r="K286" s="8" t="n">
        <f aca="false">J286-I286</f>
        <v>10</v>
      </c>
      <c r="L286" s="7" t="s">
        <v>306</v>
      </c>
    </row>
    <row r="287" customFormat="false" ht="23.85" hidden="false" customHeight="false" outlineLevel="0" collapsed="false">
      <c r="A287" s="7" t="s">
        <v>210</v>
      </c>
      <c r="B287" s="7" t="s">
        <v>211</v>
      </c>
      <c r="C287" s="7" t="s">
        <v>185</v>
      </c>
      <c r="D287" s="7" t="s">
        <v>325</v>
      </c>
      <c r="E287" s="7" t="s">
        <v>326</v>
      </c>
      <c r="F287" s="7" t="s">
        <v>318</v>
      </c>
      <c r="G287" s="7" t="s">
        <v>327</v>
      </c>
      <c r="H287" s="7" t="s">
        <v>328</v>
      </c>
      <c r="I287" s="8" t="n">
        <f aca="false">Part_Marks!C47</f>
        <v>2</v>
      </c>
      <c r="J287" s="8" t="n">
        <v>4</v>
      </c>
      <c r="K287" s="8" t="n">
        <f aca="false">J287-I287</f>
        <v>2</v>
      </c>
      <c r="L287" s="7" t="s">
        <v>315</v>
      </c>
    </row>
    <row r="288" customFormat="false" ht="15" hidden="false" customHeight="false" outlineLevel="0" collapsed="false">
      <c r="A288" s="7" t="s">
        <v>210</v>
      </c>
      <c r="B288" s="7" t="s">
        <v>211</v>
      </c>
      <c r="C288" s="7" t="s">
        <v>185</v>
      </c>
      <c r="D288" s="7" t="s">
        <v>316</v>
      </c>
      <c r="E288" s="7" t="s">
        <v>326</v>
      </c>
      <c r="F288" s="7" t="s">
        <v>318</v>
      </c>
      <c r="G288" s="7" t="s">
        <v>319</v>
      </c>
      <c r="H288" s="7" t="s">
        <v>343</v>
      </c>
      <c r="I288" s="8" t="n">
        <f aca="false">Part_Marks!D47</f>
        <v>1.5</v>
      </c>
      <c r="J288" s="8" t="n">
        <v>3</v>
      </c>
      <c r="K288" s="8" t="n">
        <f aca="false">J288-I288</f>
        <v>1.5</v>
      </c>
      <c r="L288" s="7" t="s">
        <v>315</v>
      </c>
    </row>
    <row r="289" customFormat="false" ht="15" hidden="false" customHeight="false" outlineLevel="0" collapsed="false">
      <c r="A289" s="7" t="s">
        <v>210</v>
      </c>
      <c r="B289" s="7" t="s">
        <v>211</v>
      </c>
      <c r="C289" s="7" t="s">
        <v>140</v>
      </c>
      <c r="D289" s="7" t="s">
        <v>325</v>
      </c>
      <c r="E289" s="7" t="s">
        <v>322</v>
      </c>
      <c r="F289" s="7" t="s">
        <v>318</v>
      </c>
      <c r="G289" s="7" t="s">
        <v>337</v>
      </c>
      <c r="H289" s="7" t="s">
        <v>373</v>
      </c>
      <c r="I289" s="8" t="n">
        <f aca="false">Part_Marks!F47</f>
        <v>1</v>
      </c>
      <c r="J289" s="8" t="n">
        <v>2</v>
      </c>
      <c r="K289" s="8" t="n">
        <f aca="false">J289-I289</f>
        <v>1</v>
      </c>
      <c r="L289" s="7" t="s">
        <v>315</v>
      </c>
    </row>
    <row r="290" customFormat="false" ht="23.85" hidden="false" customHeight="false" outlineLevel="0" collapsed="false">
      <c r="A290" s="7" t="s">
        <v>210</v>
      </c>
      <c r="B290" s="7" t="s">
        <v>211</v>
      </c>
      <c r="C290" s="7" t="s">
        <v>140</v>
      </c>
      <c r="D290" s="7" t="s">
        <v>316</v>
      </c>
      <c r="E290" s="7" t="s">
        <v>326</v>
      </c>
      <c r="F290" s="7" t="s">
        <v>318</v>
      </c>
      <c r="G290" s="7" t="s">
        <v>330</v>
      </c>
      <c r="H290" s="7" t="s">
        <v>335</v>
      </c>
      <c r="I290" s="8" t="n">
        <f aca="false">Part_Marks!G47</f>
        <v>1</v>
      </c>
      <c r="J290" s="8" t="n">
        <v>2</v>
      </c>
      <c r="K290" s="8" t="n">
        <f aca="false">J290-I290</f>
        <v>1</v>
      </c>
      <c r="L290" s="7" t="s">
        <v>315</v>
      </c>
    </row>
    <row r="291" customFormat="false" ht="23.85" hidden="false" customHeight="false" outlineLevel="0" collapsed="false">
      <c r="A291" s="7" t="s">
        <v>210</v>
      </c>
      <c r="B291" s="7" t="s">
        <v>211</v>
      </c>
      <c r="C291" s="7" t="s">
        <v>140</v>
      </c>
      <c r="D291" s="7" t="s">
        <v>310</v>
      </c>
      <c r="E291" s="7" t="s">
        <v>329</v>
      </c>
      <c r="F291" s="7" t="s">
        <v>318</v>
      </c>
      <c r="G291" s="7" t="s">
        <v>327</v>
      </c>
      <c r="H291" s="7" t="s">
        <v>336</v>
      </c>
      <c r="I291" s="8" t="n">
        <f aca="false">Part_Marks!H47</f>
        <v>2</v>
      </c>
      <c r="J291" s="8" t="n">
        <v>4</v>
      </c>
      <c r="K291" s="8" t="n">
        <f aca="false">J291-I291</f>
        <v>2</v>
      </c>
      <c r="L291" s="7" t="s">
        <v>315</v>
      </c>
    </row>
    <row r="292" customFormat="false" ht="15" hidden="false" customHeight="false" outlineLevel="0" collapsed="false">
      <c r="A292" s="7" t="s">
        <v>210</v>
      </c>
      <c r="B292" s="7" t="s">
        <v>211</v>
      </c>
      <c r="C292" s="7" t="s">
        <v>140</v>
      </c>
      <c r="D292" s="7" t="s">
        <v>321</v>
      </c>
      <c r="E292" s="7" t="s">
        <v>326</v>
      </c>
      <c r="F292" s="7" t="s">
        <v>318</v>
      </c>
      <c r="G292" s="7" t="s">
        <v>337</v>
      </c>
      <c r="H292" s="7" t="s">
        <v>338</v>
      </c>
      <c r="I292" s="8" t="n">
        <f aca="false">Part_Marks!I47</f>
        <v>1</v>
      </c>
      <c r="J292" s="8" t="n">
        <v>2</v>
      </c>
      <c r="K292" s="8" t="n">
        <f aca="false">J292-I292</f>
        <v>1</v>
      </c>
      <c r="L292" s="7" t="s">
        <v>315</v>
      </c>
    </row>
    <row r="293" customFormat="false" ht="23.85" hidden="false" customHeight="false" outlineLevel="0" collapsed="false">
      <c r="A293" s="7" t="s">
        <v>210</v>
      </c>
      <c r="B293" s="7" t="s">
        <v>211</v>
      </c>
      <c r="C293" s="7" t="s">
        <v>232</v>
      </c>
      <c r="D293" s="7" t="s">
        <v>325</v>
      </c>
      <c r="E293" s="7" t="s">
        <v>329</v>
      </c>
      <c r="F293" s="7" t="s">
        <v>318</v>
      </c>
      <c r="G293" s="7" t="s">
        <v>337</v>
      </c>
      <c r="H293" s="7" t="s">
        <v>380</v>
      </c>
      <c r="I293" s="8" t="n">
        <f aca="false">Part_Marks!N47</f>
        <v>0.5</v>
      </c>
      <c r="J293" s="8" t="n">
        <v>2</v>
      </c>
      <c r="K293" s="8" t="n">
        <f aca="false">J293-I293</f>
        <v>1.5</v>
      </c>
      <c r="L293" s="7" t="s">
        <v>315</v>
      </c>
    </row>
    <row r="294" customFormat="false" ht="23.85" hidden="false" customHeight="false" outlineLevel="0" collapsed="false">
      <c r="A294" s="7" t="s">
        <v>210</v>
      </c>
      <c r="B294" s="7" t="s">
        <v>211</v>
      </c>
      <c r="C294" s="7" t="s">
        <v>232</v>
      </c>
      <c r="D294" s="7" t="s">
        <v>316</v>
      </c>
      <c r="E294" s="7" t="s">
        <v>326</v>
      </c>
      <c r="F294" s="7" t="s">
        <v>318</v>
      </c>
      <c r="G294" s="7" t="s">
        <v>337</v>
      </c>
      <c r="H294" s="7" t="s">
        <v>381</v>
      </c>
      <c r="I294" s="8" t="n">
        <f aca="false">Part_Marks!O47</f>
        <v>0</v>
      </c>
      <c r="J294" s="8" t="n">
        <v>2</v>
      </c>
      <c r="K294" s="8" t="n">
        <f aca="false">J294-I294</f>
        <v>2</v>
      </c>
      <c r="L294" s="7" t="s">
        <v>315</v>
      </c>
    </row>
    <row r="295" customFormat="false" ht="15" hidden="false" customHeight="false" outlineLevel="0" collapsed="false">
      <c r="A295" s="7" t="s">
        <v>210</v>
      </c>
      <c r="B295" s="7" t="s">
        <v>211</v>
      </c>
      <c r="C295" s="7" t="s">
        <v>232</v>
      </c>
      <c r="D295" s="7" t="s">
        <v>310</v>
      </c>
      <c r="E295" s="7" t="s">
        <v>317</v>
      </c>
      <c r="F295" s="7" t="s">
        <v>318</v>
      </c>
      <c r="G295" s="7" t="s">
        <v>337</v>
      </c>
      <c r="H295" s="7" t="s">
        <v>397</v>
      </c>
      <c r="I295" s="8" t="n">
        <f aca="false">Part_Marks!P47</f>
        <v>2.5</v>
      </c>
      <c r="J295" s="8" t="n">
        <v>4</v>
      </c>
      <c r="K295" s="8" t="n">
        <f aca="false">J295-I295</f>
        <v>1.5</v>
      </c>
      <c r="L295" s="7" t="s">
        <v>315</v>
      </c>
    </row>
    <row r="296" customFormat="false" ht="15" hidden="false" customHeight="false" outlineLevel="0" collapsed="false">
      <c r="A296" s="7" t="s">
        <v>210</v>
      </c>
      <c r="B296" s="7" t="s">
        <v>211</v>
      </c>
      <c r="C296" s="7" t="s">
        <v>49</v>
      </c>
      <c r="D296" s="7" t="s">
        <v>305</v>
      </c>
      <c r="E296" s="7" t="s">
        <v>306</v>
      </c>
      <c r="F296" s="7" t="s">
        <v>307</v>
      </c>
      <c r="G296" s="7" t="s">
        <v>308</v>
      </c>
      <c r="H296" s="7" t="s">
        <v>309</v>
      </c>
      <c r="I296" s="8" t="n">
        <v>0</v>
      </c>
      <c r="J296" s="8" t="n">
        <v>10</v>
      </c>
      <c r="K296" s="8" t="n">
        <f aca="false">J296-I296</f>
        <v>10</v>
      </c>
      <c r="L296" s="7" t="s">
        <v>306</v>
      </c>
    </row>
    <row r="297" customFormat="false" ht="15" hidden="false" customHeight="false" outlineLevel="0" collapsed="false">
      <c r="A297" s="7" t="s">
        <v>213</v>
      </c>
      <c r="B297" s="7" t="s">
        <v>214</v>
      </c>
      <c r="C297" s="7" t="s">
        <v>185</v>
      </c>
      <c r="D297" s="7" t="s">
        <v>325</v>
      </c>
      <c r="E297" s="7" t="s">
        <v>358</v>
      </c>
      <c r="F297" s="7" t="s">
        <v>318</v>
      </c>
      <c r="G297" s="7" t="s">
        <v>359</v>
      </c>
      <c r="H297" s="7" t="s">
        <v>360</v>
      </c>
      <c r="I297" s="8" t="n">
        <f aca="false">Part_Marks!C48</f>
        <v>0</v>
      </c>
      <c r="J297" s="8" t="n">
        <v>4</v>
      </c>
      <c r="K297" s="8" t="n">
        <f aca="false">J297-I297</f>
        <v>4</v>
      </c>
      <c r="L297" s="7" t="s">
        <v>315</v>
      </c>
    </row>
    <row r="298" customFormat="false" ht="15" hidden="false" customHeight="false" outlineLevel="0" collapsed="false">
      <c r="A298" s="7" t="s">
        <v>213</v>
      </c>
      <c r="B298" s="7" t="s">
        <v>214</v>
      </c>
      <c r="C298" s="7" t="s">
        <v>185</v>
      </c>
      <c r="D298" s="7" t="s">
        <v>316</v>
      </c>
      <c r="E298" s="7" t="s">
        <v>358</v>
      </c>
      <c r="F298" s="7" t="s">
        <v>318</v>
      </c>
      <c r="G298" s="7" t="s">
        <v>359</v>
      </c>
      <c r="H298" s="7" t="s">
        <v>361</v>
      </c>
      <c r="I298" s="8" t="n">
        <f aca="false">Part_Marks!D48</f>
        <v>0</v>
      </c>
      <c r="J298" s="8" t="n">
        <v>3</v>
      </c>
      <c r="K298" s="8" t="n">
        <f aca="false">J298-I298</f>
        <v>3</v>
      </c>
      <c r="L298" s="7" t="s">
        <v>315</v>
      </c>
    </row>
    <row r="299" customFormat="false" ht="15" hidden="false" customHeight="false" outlineLevel="0" collapsed="false">
      <c r="A299" s="7" t="s">
        <v>213</v>
      </c>
      <c r="B299" s="7" t="s">
        <v>214</v>
      </c>
      <c r="C299" s="7" t="s">
        <v>49</v>
      </c>
      <c r="D299" s="7" t="s">
        <v>310</v>
      </c>
      <c r="E299" s="7" t="s">
        <v>358</v>
      </c>
      <c r="F299" s="7" t="s">
        <v>318</v>
      </c>
      <c r="G299" s="7" t="s">
        <v>359</v>
      </c>
      <c r="H299" s="7" t="s">
        <v>363</v>
      </c>
      <c r="I299" s="8" t="n">
        <f aca="false">Part_Marks!L48</f>
        <v>0</v>
      </c>
      <c r="J299" s="8" t="n">
        <v>4</v>
      </c>
      <c r="K299" s="8" t="n">
        <f aca="false">J299-I299</f>
        <v>4</v>
      </c>
      <c r="L299" s="7" t="s">
        <v>315</v>
      </c>
    </row>
    <row r="300" customFormat="false" ht="15" hidden="false" customHeight="false" outlineLevel="0" collapsed="false">
      <c r="A300" s="7" t="s">
        <v>213</v>
      </c>
      <c r="B300" s="7" t="s">
        <v>214</v>
      </c>
      <c r="C300" s="7" t="s">
        <v>232</v>
      </c>
      <c r="D300" s="7" t="s">
        <v>325</v>
      </c>
      <c r="E300" s="7" t="s">
        <v>358</v>
      </c>
      <c r="F300" s="7" t="s">
        <v>318</v>
      </c>
      <c r="G300" s="7" t="s">
        <v>359</v>
      </c>
      <c r="H300" s="7" t="s">
        <v>364</v>
      </c>
      <c r="I300" s="8" t="n">
        <f aca="false">Part_Marks!N48</f>
        <v>0</v>
      </c>
      <c r="J300" s="8" t="n">
        <v>2</v>
      </c>
      <c r="K300" s="8" t="n">
        <f aca="false">J300-I300</f>
        <v>2</v>
      </c>
      <c r="L300" s="7" t="s">
        <v>315</v>
      </c>
    </row>
    <row r="301" customFormat="false" ht="15" hidden="false" customHeight="false" outlineLevel="0" collapsed="false">
      <c r="A301" s="7" t="s">
        <v>213</v>
      </c>
      <c r="B301" s="7" t="s">
        <v>214</v>
      </c>
      <c r="C301" s="7" t="s">
        <v>232</v>
      </c>
      <c r="D301" s="7" t="s">
        <v>316</v>
      </c>
      <c r="E301" s="7" t="s">
        <v>358</v>
      </c>
      <c r="F301" s="7" t="s">
        <v>318</v>
      </c>
      <c r="G301" s="7" t="s">
        <v>359</v>
      </c>
      <c r="H301" s="7" t="s">
        <v>365</v>
      </c>
      <c r="I301" s="8" t="n">
        <f aca="false">Part_Marks!O48</f>
        <v>0</v>
      </c>
      <c r="J301" s="8" t="n">
        <v>2</v>
      </c>
      <c r="K301" s="8" t="n">
        <f aca="false">J301-I301</f>
        <v>2</v>
      </c>
      <c r="L301" s="7" t="s">
        <v>315</v>
      </c>
    </row>
    <row r="302" customFormat="false" ht="23.85" hidden="false" customHeight="false" outlineLevel="0" collapsed="false">
      <c r="A302" s="7" t="s">
        <v>213</v>
      </c>
      <c r="B302" s="7" t="s">
        <v>214</v>
      </c>
      <c r="C302" s="7" t="s">
        <v>232</v>
      </c>
      <c r="D302" s="7" t="s">
        <v>310</v>
      </c>
      <c r="E302" s="7" t="s">
        <v>322</v>
      </c>
      <c r="F302" s="7" t="s">
        <v>318</v>
      </c>
      <c r="G302" s="7" t="s">
        <v>330</v>
      </c>
      <c r="H302" s="7" t="s">
        <v>340</v>
      </c>
      <c r="I302" s="8" t="n">
        <f aca="false">Part_Marks!P48</f>
        <v>3</v>
      </c>
      <c r="J302" s="8" t="n">
        <v>4</v>
      </c>
      <c r="K302" s="8" t="n">
        <f aca="false">J302-I302</f>
        <v>1</v>
      </c>
      <c r="L302" s="7" t="s">
        <v>315</v>
      </c>
    </row>
    <row r="303" customFormat="false" ht="23.85" hidden="false" customHeight="false" outlineLevel="0" collapsed="false">
      <c r="A303" s="7" t="s">
        <v>213</v>
      </c>
      <c r="B303" s="7" t="s">
        <v>214</v>
      </c>
      <c r="C303" s="7" t="s">
        <v>232</v>
      </c>
      <c r="D303" s="7" t="s">
        <v>321</v>
      </c>
      <c r="E303" s="7" t="s">
        <v>322</v>
      </c>
      <c r="F303" s="7" t="s">
        <v>318</v>
      </c>
      <c r="G303" s="7" t="s">
        <v>323</v>
      </c>
      <c r="H303" s="7" t="s">
        <v>324</v>
      </c>
      <c r="I303" s="8" t="n">
        <f aca="false">Part_Marks!Q48</f>
        <v>1.5</v>
      </c>
      <c r="J303" s="8" t="n">
        <v>2</v>
      </c>
      <c r="K303" s="8" t="n">
        <f aca="false">J303-I303</f>
        <v>0.5</v>
      </c>
      <c r="L303" s="7" t="s">
        <v>315</v>
      </c>
    </row>
    <row r="304" customFormat="false" ht="15" hidden="false" customHeight="false" outlineLevel="0" collapsed="false">
      <c r="A304" s="7" t="s">
        <v>213</v>
      </c>
      <c r="B304" s="7" t="s">
        <v>214</v>
      </c>
      <c r="C304" s="7" t="s">
        <v>140</v>
      </c>
      <c r="D304" s="7" t="s">
        <v>305</v>
      </c>
      <c r="E304" s="7" t="s">
        <v>306</v>
      </c>
      <c r="F304" s="7" t="s">
        <v>307</v>
      </c>
      <c r="G304" s="7" t="s">
        <v>308</v>
      </c>
      <c r="H304" s="7" t="s">
        <v>309</v>
      </c>
      <c r="I304" s="8" t="n">
        <v>0</v>
      </c>
      <c r="J304" s="8" t="n">
        <v>10</v>
      </c>
      <c r="K304" s="8" t="n">
        <f aca="false">J304-I304</f>
        <v>10</v>
      </c>
      <c r="L304" s="7" t="s">
        <v>306</v>
      </c>
    </row>
    <row r="305" customFormat="false" ht="23.85" hidden="false" customHeight="false" outlineLevel="0" collapsed="false">
      <c r="A305" s="7" t="s">
        <v>217</v>
      </c>
      <c r="B305" s="7" t="s">
        <v>218</v>
      </c>
      <c r="C305" s="7" t="s">
        <v>140</v>
      </c>
      <c r="D305" s="7" t="s">
        <v>321</v>
      </c>
      <c r="E305" s="7" t="s">
        <v>329</v>
      </c>
      <c r="F305" s="7" t="s">
        <v>318</v>
      </c>
      <c r="G305" s="7" t="s">
        <v>347</v>
      </c>
      <c r="H305" s="7" t="s">
        <v>348</v>
      </c>
      <c r="I305" s="8" t="n">
        <f aca="false">Part_Marks!I49</f>
        <v>1.5</v>
      </c>
      <c r="J305" s="8" t="n">
        <v>2</v>
      </c>
      <c r="K305" s="8" t="n">
        <f aca="false">J305-I305</f>
        <v>0.5</v>
      </c>
      <c r="L305" s="7" t="s">
        <v>315</v>
      </c>
    </row>
    <row r="306" customFormat="false" ht="23.85" hidden="false" customHeight="false" outlineLevel="0" collapsed="false">
      <c r="A306" s="7" t="s">
        <v>217</v>
      </c>
      <c r="B306" s="7" t="s">
        <v>218</v>
      </c>
      <c r="C306" s="7" t="s">
        <v>49</v>
      </c>
      <c r="D306" s="7" t="s">
        <v>310</v>
      </c>
      <c r="E306" s="7" t="s">
        <v>329</v>
      </c>
      <c r="F306" s="7" t="s">
        <v>318</v>
      </c>
      <c r="G306" s="7" t="s">
        <v>330</v>
      </c>
      <c r="H306" s="7" t="s">
        <v>408</v>
      </c>
      <c r="I306" s="8" t="n">
        <f aca="false">Part_Marks!L49</f>
        <v>2.5</v>
      </c>
      <c r="J306" s="8" t="n">
        <v>4</v>
      </c>
      <c r="K306" s="8" t="n">
        <f aca="false">J306-I306</f>
        <v>1.5</v>
      </c>
      <c r="L306" s="7" t="s">
        <v>315</v>
      </c>
    </row>
    <row r="307" customFormat="false" ht="23.85" hidden="false" customHeight="false" outlineLevel="0" collapsed="false">
      <c r="A307" s="7" t="s">
        <v>217</v>
      </c>
      <c r="B307" s="7" t="s">
        <v>218</v>
      </c>
      <c r="C307" s="7" t="s">
        <v>232</v>
      </c>
      <c r="D307" s="7" t="s">
        <v>325</v>
      </c>
      <c r="E307" s="7" t="s">
        <v>329</v>
      </c>
      <c r="F307" s="7" t="s">
        <v>318</v>
      </c>
      <c r="G307" s="7" t="s">
        <v>337</v>
      </c>
      <c r="H307" s="7" t="s">
        <v>380</v>
      </c>
      <c r="I307" s="8" t="n">
        <f aca="false">Part_Marks!N49</f>
        <v>0.5</v>
      </c>
      <c r="J307" s="8" t="n">
        <v>2</v>
      </c>
      <c r="K307" s="8" t="n">
        <f aca="false">J307-I307</f>
        <v>1.5</v>
      </c>
      <c r="L307" s="7" t="s">
        <v>315</v>
      </c>
    </row>
    <row r="308" customFormat="false" ht="15" hidden="false" customHeight="false" outlineLevel="0" collapsed="false">
      <c r="A308" s="7" t="s">
        <v>217</v>
      </c>
      <c r="B308" s="7" t="s">
        <v>218</v>
      </c>
      <c r="C308" s="7" t="s">
        <v>232</v>
      </c>
      <c r="D308" s="7" t="s">
        <v>310</v>
      </c>
      <c r="E308" s="7" t="s">
        <v>326</v>
      </c>
      <c r="F308" s="7" t="s">
        <v>318</v>
      </c>
      <c r="G308" s="7" t="s">
        <v>333</v>
      </c>
      <c r="H308" s="7" t="s">
        <v>371</v>
      </c>
      <c r="I308" s="8" t="n">
        <f aca="false">Part_Marks!P49</f>
        <v>3</v>
      </c>
      <c r="J308" s="8" t="n">
        <v>4</v>
      </c>
      <c r="K308" s="8" t="n">
        <f aca="false">J308-I308</f>
        <v>1</v>
      </c>
      <c r="L308" s="7" t="s">
        <v>315</v>
      </c>
    </row>
    <row r="309" customFormat="false" ht="15" hidden="false" customHeight="false" outlineLevel="0" collapsed="false">
      <c r="A309" s="7" t="s">
        <v>217</v>
      </c>
      <c r="B309" s="7" t="s">
        <v>218</v>
      </c>
      <c r="C309" s="7" t="s">
        <v>185</v>
      </c>
      <c r="D309" s="7" t="s">
        <v>305</v>
      </c>
      <c r="E309" s="7" t="s">
        <v>306</v>
      </c>
      <c r="F309" s="7" t="s">
        <v>307</v>
      </c>
      <c r="G309" s="7" t="s">
        <v>308</v>
      </c>
      <c r="H309" s="7" t="s">
        <v>309</v>
      </c>
      <c r="I309" s="8" t="n">
        <v>0</v>
      </c>
      <c r="J309" s="8" t="n">
        <v>10</v>
      </c>
      <c r="K309" s="8" t="n">
        <f aca="false">J309-I309</f>
        <v>10</v>
      </c>
      <c r="L309" s="7" t="s">
        <v>306</v>
      </c>
    </row>
    <row r="310" customFormat="false" ht="15" hidden="false" customHeight="false" outlineLevel="0" collapsed="false">
      <c r="A310" s="7" t="s">
        <v>220</v>
      </c>
      <c r="B310" s="7" t="s">
        <v>221</v>
      </c>
      <c r="C310" s="7" t="s">
        <v>185</v>
      </c>
      <c r="D310" s="7" t="s">
        <v>325</v>
      </c>
      <c r="E310" s="7" t="s">
        <v>322</v>
      </c>
      <c r="F310" s="7" t="s">
        <v>318</v>
      </c>
      <c r="G310" s="7" t="s">
        <v>319</v>
      </c>
      <c r="H310" s="7" t="s">
        <v>409</v>
      </c>
      <c r="I310" s="8" t="n">
        <f aca="false">Part_Marks!C50</f>
        <v>3</v>
      </c>
      <c r="J310" s="8" t="n">
        <v>4</v>
      </c>
      <c r="K310" s="8" t="n">
        <f aca="false">J310-I310</f>
        <v>1</v>
      </c>
      <c r="L310" s="7" t="s">
        <v>315</v>
      </c>
    </row>
    <row r="311" customFormat="false" ht="23.85" hidden="false" customHeight="false" outlineLevel="0" collapsed="false">
      <c r="A311" s="7" t="s">
        <v>220</v>
      </c>
      <c r="B311" s="7" t="s">
        <v>221</v>
      </c>
      <c r="C311" s="7" t="s">
        <v>140</v>
      </c>
      <c r="D311" s="7" t="s">
        <v>310</v>
      </c>
      <c r="E311" s="7" t="s">
        <v>329</v>
      </c>
      <c r="F311" s="7" t="s">
        <v>318</v>
      </c>
      <c r="G311" s="7" t="s">
        <v>327</v>
      </c>
      <c r="H311" s="7" t="s">
        <v>336</v>
      </c>
      <c r="I311" s="8" t="n">
        <f aca="false">Part_Marks!H50</f>
        <v>2</v>
      </c>
      <c r="J311" s="8" t="n">
        <v>4</v>
      </c>
      <c r="K311" s="8" t="n">
        <f aca="false">J311-I311</f>
        <v>2</v>
      </c>
      <c r="L311" s="7" t="s">
        <v>315</v>
      </c>
    </row>
    <row r="312" customFormat="false" ht="23.85" hidden="false" customHeight="false" outlineLevel="0" collapsed="false">
      <c r="A312" s="7" t="s">
        <v>220</v>
      </c>
      <c r="B312" s="7" t="s">
        <v>221</v>
      </c>
      <c r="C312" s="7" t="s">
        <v>49</v>
      </c>
      <c r="D312" s="7" t="s">
        <v>310</v>
      </c>
      <c r="E312" s="7" t="s">
        <v>329</v>
      </c>
      <c r="F312" s="7" t="s">
        <v>318</v>
      </c>
      <c r="G312" s="7" t="s">
        <v>330</v>
      </c>
      <c r="H312" s="7" t="s">
        <v>408</v>
      </c>
      <c r="I312" s="8" t="n">
        <f aca="false">Part_Marks!L50</f>
        <v>2.5</v>
      </c>
      <c r="J312" s="8" t="n">
        <v>4</v>
      </c>
      <c r="K312" s="8" t="n">
        <f aca="false">J312-I312</f>
        <v>1.5</v>
      </c>
      <c r="L312" s="7" t="s">
        <v>315</v>
      </c>
    </row>
    <row r="313" customFormat="false" ht="15" hidden="false" customHeight="false" outlineLevel="0" collapsed="false">
      <c r="A313" s="7" t="s">
        <v>220</v>
      </c>
      <c r="B313" s="7" t="s">
        <v>221</v>
      </c>
      <c r="C313" s="7" t="s">
        <v>232</v>
      </c>
      <c r="D313" s="7" t="s">
        <v>305</v>
      </c>
      <c r="E313" s="7" t="s">
        <v>306</v>
      </c>
      <c r="F313" s="7" t="s">
        <v>307</v>
      </c>
      <c r="G313" s="7" t="s">
        <v>308</v>
      </c>
      <c r="H313" s="7" t="s">
        <v>309</v>
      </c>
      <c r="I313" s="8" t="n">
        <v>0</v>
      </c>
      <c r="J313" s="8" t="n">
        <v>10</v>
      </c>
      <c r="K313" s="8" t="n">
        <f aca="false">J313-I313</f>
        <v>10</v>
      </c>
      <c r="L313" s="7" t="s">
        <v>306</v>
      </c>
    </row>
    <row r="314" customFormat="false" ht="15" hidden="false" customHeight="false" outlineLevel="0" collapsed="false">
      <c r="A314" s="7" t="s">
        <v>225</v>
      </c>
      <c r="B314" s="7" t="s">
        <v>226</v>
      </c>
      <c r="C314" s="7" t="s">
        <v>185</v>
      </c>
      <c r="D314" s="7" t="s">
        <v>325</v>
      </c>
      <c r="E314" s="7" t="s">
        <v>322</v>
      </c>
      <c r="F314" s="7" t="s">
        <v>318</v>
      </c>
      <c r="G314" s="7" t="s">
        <v>319</v>
      </c>
      <c r="H314" s="7" t="s">
        <v>409</v>
      </c>
      <c r="I314" s="8" t="n">
        <f aca="false">Part_Marks!C51</f>
        <v>3</v>
      </c>
      <c r="J314" s="8" t="n">
        <v>4</v>
      </c>
      <c r="K314" s="8" t="n">
        <f aca="false">J314-I314</f>
        <v>1</v>
      </c>
      <c r="L314" s="7" t="s">
        <v>315</v>
      </c>
    </row>
    <row r="315" customFormat="false" ht="15" hidden="false" customHeight="false" outlineLevel="0" collapsed="false">
      <c r="A315" s="7" t="s">
        <v>225</v>
      </c>
      <c r="B315" s="7" t="s">
        <v>226</v>
      </c>
      <c r="C315" s="7" t="s">
        <v>185</v>
      </c>
      <c r="D315" s="7" t="s">
        <v>316</v>
      </c>
      <c r="E315" s="7" t="s">
        <v>317</v>
      </c>
      <c r="F315" s="7" t="s">
        <v>318</v>
      </c>
      <c r="G315" s="7" t="s">
        <v>327</v>
      </c>
      <c r="H315" s="7" t="s">
        <v>398</v>
      </c>
      <c r="I315" s="8" t="n">
        <f aca="false">Part_Marks!D51</f>
        <v>2</v>
      </c>
      <c r="J315" s="8" t="n">
        <v>3</v>
      </c>
      <c r="K315" s="8" t="n">
        <f aca="false">J315-I315</f>
        <v>1</v>
      </c>
      <c r="L315" s="7" t="s">
        <v>315</v>
      </c>
    </row>
    <row r="316" customFormat="false" ht="15" hidden="false" customHeight="false" outlineLevel="0" collapsed="false">
      <c r="A316" s="7" t="s">
        <v>225</v>
      </c>
      <c r="B316" s="7" t="s">
        <v>226</v>
      </c>
      <c r="C316" s="7" t="s">
        <v>140</v>
      </c>
      <c r="D316" s="7" t="s">
        <v>325</v>
      </c>
      <c r="E316" s="7" t="s">
        <v>329</v>
      </c>
      <c r="F316" s="7" t="s">
        <v>318</v>
      </c>
      <c r="G316" s="7" t="s">
        <v>333</v>
      </c>
      <c r="H316" s="7" t="s">
        <v>334</v>
      </c>
      <c r="I316" s="8" t="n">
        <f aca="false">Part_Marks!F51</f>
        <v>1.5</v>
      </c>
      <c r="J316" s="8" t="n">
        <v>2</v>
      </c>
      <c r="K316" s="8" t="n">
        <f aca="false">J316-I316</f>
        <v>0.5</v>
      </c>
      <c r="L316" s="7" t="s">
        <v>350</v>
      </c>
    </row>
    <row r="317" customFormat="false" ht="15" hidden="false" customHeight="false" outlineLevel="0" collapsed="false">
      <c r="A317" s="7" t="s">
        <v>225</v>
      </c>
      <c r="B317" s="7" t="s">
        <v>226</v>
      </c>
      <c r="C317" s="7" t="s">
        <v>49</v>
      </c>
      <c r="D317" s="7" t="s">
        <v>321</v>
      </c>
      <c r="E317" s="7" t="s">
        <v>322</v>
      </c>
      <c r="F317" s="7" t="s">
        <v>318</v>
      </c>
      <c r="G317" s="7" t="s">
        <v>337</v>
      </c>
      <c r="H317" s="7" t="s">
        <v>379</v>
      </c>
      <c r="I317" s="8" t="n">
        <f aca="false">Part_Marks!M51</f>
        <v>0</v>
      </c>
      <c r="J317" s="8" t="n">
        <v>2</v>
      </c>
      <c r="K317" s="8" t="n">
        <f aca="false">J317-I317</f>
        <v>2</v>
      </c>
      <c r="L317" s="7" t="s">
        <v>315</v>
      </c>
    </row>
    <row r="318" customFormat="false" ht="23.85" hidden="false" customHeight="false" outlineLevel="0" collapsed="false">
      <c r="A318" s="7" t="s">
        <v>225</v>
      </c>
      <c r="B318" s="7" t="s">
        <v>226</v>
      </c>
      <c r="C318" s="7" t="s">
        <v>232</v>
      </c>
      <c r="D318" s="7" t="s">
        <v>325</v>
      </c>
      <c r="E318" s="7" t="s">
        <v>322</v>
      </c>
      <c r="F318" s="7" t="s">
        <v>318</v>
      </c>
      <c r="G318" s="7" t="s">
        <v>330</v>
      </c>
      <c r="H318" s="7" t="s">
        <v>396</v>
      </c>
      <c r="I318" s="8" t="n">
        <f aca="false">Part_Marks!N51</f>
        <v>1</v>
      </c>
      <c r="J318" s="8" t="n">
        <v>2</v>
      </c>
      <c r="K318" s="8" t="n">
        <f aca="false">J318-I318</f>
        <v>1</v>
      </c>
      <c r="L318" s="7" t="s">
        <v>315</v>
      </c>
    </row>
    <row r="319" customFormat="false" ht="15" hidden="false" customHeight="false" outlineLevel="0" collapsed="false">
      <c r="A319" s="7" t="s">
        <v>225</v>
      </c>
      <c r="B319" s="7" t="s">
        <v>226</v>
      </c>
      <c r="C319" s="7" t="s">
        <v>140</v>
      </c>
      <c r="D319" s="7" t="s">
        <v>305</v>
      </c>
      <c r="E319" s="7" t="s">
        <v>306</v>
      </c>
      <c r="F319" s="7" t="s">
        <v>8</v>
      </c>
      <c r="G319" s="7" t="s">
        <v>356</v>
      </c>
      <c r="H319" s="7" t="s">
        <v>357</v>
      </c>
      <c r="I319" s="8" t="n">
        <f aca="false">SUM(Part_Marks!F51:I51)</f>
        <v>9.5</v>
      </c>
      <c r="J319" s="8" t="n">
        <v>10</v>
      </c>
      <c r="K319" s="8" t="n">
        <f aca="false">J319-I319</f>
        <v>0.5</v>
      </c>
      <c r="L319" s="7" t="s">
        <v>350</v>
      </c>
    </row>
    <row r="320" customFormat="false" ht="23.85" hidden="false" customHeight="false" outlineLevel="0" collapsed="false">
      <c r="A320" s="7" t="s">
        <v>229</v>
      </c>
      <c r="B320" s="7" t="s">
        <v>230</v>
      </c>
      <c r="C320" s="7" t="s">
        <v>232</v>
      </c>
      <c r="D320" s="7" t="s">
        <v>325</v>
      </c>
      <c r="E320" s="7" t="s">
        <v>322</v>
      </c>
      <c r="F320" s="7" t="s">
        <v>318</v>
      </c>
      <c r="G320" s="7" t="s">
        <v>330</v>
      </c>
      <c r="H320" s="7" t="s">
        <v>396</v>
      </c>
      <c r="I320" s="8" t="n">
        <f aca="false">Part_Marks!N52</f>
        <v>1</v>
      </c>
      <c r="J320" s="8" t="n">
        <v>2</v>
      </c>
      <c r="K320" s="8" t="n">
        <f aca="false">J320-I320</f>
        <v>1</v>
      </c>
      <c r="L320" s="7" t="s">
        <v>315</v>
      </c>
    </row>
    <row r="321" customFormat="false" ht="15" hidden="false" customHeight="false" outlineLevel="0" collapsed="false">
      <c r="A321" s="7" t="s">
        <v>229</v>
      </c>
      <c r="B321" s="7" t="s">
        <v>230</v>
      </c>
      <c r="C321" s="7" t="s">
        <v>232</v>
      </c>
      <c r="D321" s="7" t="s">
        <v>310</v>
      </c>
      <c r="E321" s="7" t="s">
        <v>326</v>
      </c>
      <c r="F321" s="7" t="s">
        <v>318</v>
      </c>
      <c r="G321" s="7" t="s">
        <v>333</v>
      </c>
      <c r="H321" s="7" t="s">
        <v>371</v>
      </c>
      <c r="I321" s="8" t="n">
        <f aca="false">Part_Marks!P52</f>
        <v>3</v>
      </c>
      <c r="J321" s="8" t="n">
        <v>4</v>
      </c>
      <c r="K321" s="8" t="n">
        <f aca="false">J321-I321</f>
        <v>1</v>
      </c>
      <c r="L321" s="7" t="s">
        <v>315</v>
      </c>
    </row>
    <row r="322" customFormat="false" ht="15" hidden="false" customHeight="false" outlineLevel="0" collapsed="false">
      <c r="A322" s="7" t="s">
        <v>229</v>
      </c>
      <c r="B322" s="7" t="s">
        <v>230</v>
      </c>
      <c r="C322" s="7" t="s">
        <v>232</v>
      </c>
      <c r="D322" s="7" t="s">
        <v>321</v>
      </c>
      <c r="E322" s="7" t="s">
        <v>317</v>
      </c>
      <c r="F322" s="7" t="s">
        <v>318</v>
      </c>
      <c r="G322" s="7" t="s">
        <v>347</v>
      </c>
      <c r="H322" s="7" t="s">
        <v>355</v>
      </c>
      <c r="I322" s="8" t="n">
        <f aca="false">Part_Marks!Q52</f>
        <v>1</v>
      </c>
      <c r="J322" s="8" t="n">
        <v>2</v>
      </c>
      <c r="K322" s="8" t="n">
        <f aca="false">J322-I322</f>
        <v>1</v>
      </c>
      <c r="L322" s="7" t="s">
        <v>315</v>
      </c>
    </row>
    <row r="323" customFormat="false" ht="15" hidden="false" customHeight="false" outlineLevel="0" collapsed="false">
      <c r="A323" s="7" t="s">
        <v>229</v>
      </c>
      <c r="B323" s="7" t="s">
        <v>230</v>
      </c>
      <c r="C323" s="7" t="s">
        <v>185</v>
      </c>
      <c r="D323" s="7" t="s">
        <v>305</v>
      </c>
      <c r="E323" s="7" t="s">
        <v>306</v>
      </c>
      <c r="F323" s="7" t="s">
        <v>307</v>
      </c>
      <c r="G323" s="7" t="s">
        <v>308</v>
      </c>
      <c r="H323" s="7" t="s">
        <v>309</v>
      </c>
      <c r="I323" s="8" t="n">
        <v>0</v>
      </c>
      <c r="J323" s="8" t="n">
        <v>10</v>
      </c>
      <c r="K323" s="8" t="n">
        <f aca="false">J323-I323</f>
        <v>10</v>
      </c>
      <c r="L323" s="7" t="s">
        <v>306</v>
      </c>
    </row>
    <row r="324" customFormat="false" ht="15" hidden="false" customHeight="false" outlineLevel="0" collapsed="false">
      <c r="A324" s="7" t="s">
        <v>229</v>
      </c>
      <c r="B324" s="7" t="s">
        <v>230</v>
      </c>
      <c r="C324" s="7" t="s">
        <v>140</v>
      </c>
      <c r="D324" s="7" t="s">
        <v>305</v>
      </c>
      <c r="E324" s="7" t="s">
        <v>306</v>
      </c>
      <c r="F324" s="7" t="s">
        <v>307</v>
      </c>
      <c r="G324" s="7" t="s">
        <v>308</v>
      </c>
      <c r="H324" s="7" t="s">
        <v>309</v>
      </c>
      <c r="I324" s="8" t="n">
        <v>0</v>
      </c>
      <c r="J324" s="8" t="n">
        <v>10</v>
      </c>
      <c r="K324" s="8" t="n">
        <f aca="false">J324-I324</f>
        <v>10</v>
      </c>
      <c r="L324" s="7" t="s">
        <v>306</v>
      </c>
    </row>
    <row r="325" customFormat="false" ht="15" hidden="false" customHeight="false" outlineLevel="0" collapsed="false">
      <c r="A325" s="7" t="s">
        <v>229</v>
      </c>
      <c r="B325" s="7" t="s">
        <v>230</v>
      </c>
      <c r="C325" s="7" t="s">
        <v>49</v>
      </c>
      <c r="D325" s="7" t="s">
        <v>305</v>
      </c>
      <c r="E325" s="7" t="s">
        <v>306</v>
      </c>
      <c r="F325" s="7" t="s">
        <v>307</v>
      </c>
      <c r="G325" s="7" t="s">
        <v>308</v>
      </c>
      <c r="H325" s="7" t="s">
        <v>309</v>
      </c>
      <c r="I325" s="8" t="n">
        <v>0</v>
      </c>
      <c r="J325" s="8" t="n">
        <v>10</v>
      </c>
      <c r="K325" s="8" t="n">
        <f aca="false">J325-I325</f>
        <v>10</v>
      </c>
      <c r="L325" s="7" t="s">
        <v>306</v>
      </c>
    </row>
    <row r="326" customFormat="false" ht="23.85" hidden="false" customHeight="false" outlineLevel="0" collapsed="false">
      <c r="A326" s="7" t="s">
        <v>235</v>
      </c>
      <c r="B326" s="7" t="s">
        <v>236</v>
      </c>
      <c r="C326" s="7" t="s">
        <v>49</v>
      </c>
      <c r="D326" s="7" t="s">
        <v>321</v>
      </c>
      <c r="E326" s="7" t="s">
        <v>394</v>
      </c>
      <c r="F326" s="7" t="s">
        <v>312</v>
      </c>
      <c r="G326" s="7" t="s">
        <v>313</v>
      </c>
      <c r="H326" s="7" t="s">
        <v>395</v>
      </c>
      <c r="I326" s="8" t="n">
        <f aca="false">Part_Marks!M53</f>
        <v>2</v>
      </c>
      <c r="J326" s="8" t="n">
        <v>2</v>
      </c>
      <c r="K326" s="8" t="n">
        <f aca="false">J326-I326</f>
        <v>0</v>
      </c>
      <c r="L326" s="7" t="s">
        <v>315</v>
      </c>
    </row>
    <row r="327" customFormat="false" ht="15" hidden="false" customHeight="false" outlineLevel="0" collapsed="false">
      <c r="A327" s="7" t="s">
        <v>235</v>
      </c>
      <c r="B327" s="7" t="s">
        <v>236</v>
      </c>
      <c r="C327" s="7" t="s">
        <v>185</v>
      </c>
      <c r="D327" s="7" t="s">
        <v>305</v>
      </c>
      <c r="E327" s="7" t="s">
        <v>306</v>
      </c>
      <c r="F327" s="7" t="s">
        <v>307</v>
      </c>
      <c r="G327" s="7" t="s">
        <v>308</v>
      </c>
      <c r="H327" s="7" t="s">
        <v>309</v>
      </c>
      <c r="I327" s="8" t="n">
        <v>0</v>
      </c>
      <c r="J327" s="8" t="n">
        <v>10</v>
      </c>
      <c r="K327" s="8" t="n">
        <f aca="false">J327-I327</f>
        <v>10</v>
      </c>
      <c r="L327" s="7" t="s">
        <v>306</v>
      </c>
    </row>
    <row r="328" customFormat="false" ht="23.85" hidden="false" customHeight="false" outlineLevel="0" collapsed="false">
      <c r="A328" s="7" t="s">
        <v>238</v>
      </c>
      <c r="B328" s="7" t="s">
        <v>239</v>
      </c>
      <c r="C328" s="7" t="s">
        <v>232</v>
      </c>
      <c r="D328" s="7" t="s">
        <v>316</v>
      </c>
      <c r="E328" s="7" t="s">
        <v>326</v>
      </c>
      <c r="F328" s="7" t="s">
        <v>318</v>
      </c>
      <c r="G328" s="7" t="s">
        <v>337</v>
      </c>
      <c r="H328" s="7" t="s">
        <v>381</v>
      </c>
      <c r="I328" s="8" t="n">
        <f aca="false">Part_Marks!O54</f>
        <v>0</v>
      </c>
      <c r="J328" s="8" t="n">
        <v>2</v>
      </c>
      <c r="K328" s="8" t="n">
        <f aca="false">J328-I328</f>
        <v>2</v>
      </c>
      <c r="L328" s="7" t="s">
        <v>315</v>
      </c>
    </row>
    <row r="329" customFormat="false" ht="15" hidden="false" customHeight="false" outlineLevel="0" collapsed="false">
      <c r="A329" s="7" t="s">
        <v>238</v>
      </c>
      <c r="B329" s="7" t="s">
        <v>239</v>
      </c>
      <c r="C329" s="7" t="s">
        <v>49</v>
      </c>
      <c r="D329" s="7" t="s">
        <v>305</v>
      </c>
      <c r="E329" s="7" t="s">
        <v>306</v>
      </c>
      <c r="F329" s="7" t="s">
        <v>307</v>
      </c>
      <c r="G329" s="7" t="s">
        <v>308</v>
      </c>
      <c r="H329" s="7" t="s">
        <v>309</v>
      </c>
      <c r="I329" s="8" t="n">
        <v>0</v>
      </c>
      <c r="J329" s="8" t="n">
        <v>10</v>
      </c>
      <c r="K329" s="8" t="n">
        <f aca="false">J329-I329</f>
        <v>10</v>
      </c>
      <c r="L329" s="7" t="s">
        <v>306</v>
      </c>
    </row>
    <row r="330" customFormat="false" ht="15" hidden="false" customHeight="false" outlineLevel="0" collapsed="false">
      <c r="A330" s="7" t="s">
        <v>241</v>
      </c>
      <c r="B330" s="7" t="s">
        <v>242</v>
      </c>
      <c r="C330" s="7" t="s">
        <v>185</v>
      </c>
      <c r="D330" s="7" t="s">
        <v>325</v>
      </c>
      <c r="E330" s="7" t="s">
        <v>322</v>
      </c>
      <c r="F330" s="7" t="s">
        <v>318</v>
      </c>
      <c r="G330" s="7" t="s">
        <v>319</v>
      </c>
      <c r="H330" s="7" t="s">
        <v>409</v>
      </c>
      <c r="I330" s="8" t="n">
        <f aca="false">Part_Marks!C55</f>
        <v>3</v>
      </c>
      <c r="J330" s="8" t="n">
        <v>4</v>
      </c>
      <c r="K330" s="8" t="n">
        <f aca="false">J330-I330</f>
        <v>1</v>
      </c>
      <c r="L330" s="7" t="s">
        <v>315</v>
      </c>
    </row>
    <row r="331" customFormat="false" ht="23.85" hidden="false" customHeight="false" outlineLevel="0" collapsed="false">
      <c r="A331" s="7" t="s">
        <v>241</v>
      </c>
      <c r="B331" s="7" t="s">
        <v>242</v>
      </c>
      <c r="C331" s="7" t="s">
        <v>185</v>
      </c>
      <c r="D331" s="7" t="s">
        <v>310</v>
      </c>
      <c r="E331" s="7" t="s">
        <v>326</v>
      </c>
      <c r="F331" s="7" t="s">
        <v>318</v>
      </c>
      <c r="G331" s="7" t="s">
        <v>344</v>
      </c>
      <c r="H331" s="7" t="s">
        <v>345</v>
      </c>
      <c r="I331" s="8" t="n">
        <f aca="false">Part_Marks!E55</f>
        <v>0</v>
      </c>
      <c r="J331" s="8" t="n">
        <v>3</v>
      </c>
      <c r="K331" s="8" t="n">
        <f aca="false">J331-I331</f>
        <v>3</v>
      </c>
      <c r="L331" s="7" t="s">
        <v>315</v>
      </c>
    </row>
    <row r="332" customFormat="false" ht="15" hidden="false" customHeight="false" outlineLevel="0" collapsed="false">
      <c r="A332" s="7" t="s">
        <v>241</v>
      </c>
      <c r="B332" s="7" t="s">
        <v>242</v>
      </c>
      <c r="C332" s="7" t="s">
        <v>49</v>
      </c>
      <c r="D332" s="7" t="s">
        <v>325</v>
      </c>
      <c r="E332" s="7" t="s">
        <v>326</v>
      </c>
      <c r="F332" s="7" t="s">
        <v>318</v>
      </c>
      <c r="G332" s="7" t="s">
        <v>337</v>
      </c>
      <c r="H332" s="7" t="s">
        <v>349</v>
      </c>
      <c r="I332" s="8" t="n">
        <f aca="false">Part_Marks!J55</f>
        <v>1</v>
      </c>
      <c r="J332" s="8" t="n">
        <v>2</v>
      </c>
      <c r="K332" s="8" t="n">
        <f aca="false">J332-I332</f>
        <v>1</v>
      </c>
      <c r="L332" s="7" t="s">
        <v>315</v>
      </c>
    </row>
    <row r="333" customFormat="false" ht="15" hidden="false" customHeight="false" outlineLevel="0" collapsed="false">
      <c r="A333" s="7" t="s">
        <v>241</v>
      </c>
      <c r="B333" s="7" t="s">
        <v>242</v>
      </c>
      <c r="C333" s="7" t="s">
        <v>49</v>
      </c>
      <c r="D333" s="7" t="s">
        <v>316</v>
      </c>
      <c r="E333" s="7" t="s">
        <v>317</v>
      </c>
      <c r="F333" s="7" t="s">
        <v>318</v>
      </c>
      <c r="G333" s="7" t="s">
        <v>319</v>
      </c>
      <c r="H333" s="7" t="s">
        <v>320</v>
      </c>
      <c r="I333" s="8" t="n">
        <f aca="false">Part_Marks!K55</f>
        <v>1.5</v>
      </c>
      <c r="J333" s="8" t="n">
        <v>2</v>
      </c>
      <c r="K333" s="8" t="n">
        <f aca="false">J333-I333</f>
        <v>0.5</v>
      </c>
      <c r="L333" s="7" t="s">
        <v>315</v>
      </c>
    </row>
    <row r="334" customFormat="false" ht="15" hidden="false" customHeight="false" outlineLevel="0" collapsed="false">
      <c r="A334" s="7" t="s">
        <v>241</v>
      </c>
      <c r="B334" s="7" t="s">
        <v>242</v>
      </c>
      <c r="C334" s="7" t="s">
        <v>49</v>
      </c>
      <c r="D334" s="7" t="s">
        <v>310</v>
      </c>
      <c r="E334" s="7" t="s">
        <v>317</v>
      </c>
      <c r="F334" s="7" t="s">
        <v>318</v>
      </c>
      <c r="G334" s="7" t="s">
        <v>330</v>
      </c>
      <c r="H334" s="7" t="s">
        <v>352</v>
      </c>
      <c r="I334" s="8" t="n">
        <f aca="false">Part_Marks!L55</f>
        <v>3</v>
      </c>
      <c r="J334" s="8" t="n">
        <v>4</v>
      </c>
      <c r="K334" s="8" t="n">
        <f aca="false">J334-I334</f>
        <v>1</v>
      </c>
      <c r="L334" s="7" t="s">
        <v>315</v>
      </c>
    </row>
    <row r="335" customFormat="false" ht="23.85" hidden="false" customHeight="false" outlineLevel="0" collapsed="false">
      <c r="A335" s="7" t="s">
        <v>241</v>
      </c>
      <c r="B335" s="7" t="s">
        <v>242</v>
      </c>
      <c r="C335" s="7" t="s">
        <v>49</v>
      </c>
      <c r="D335" s="7" t="s">
        <v>321</v>
      </c>
      <c r="E335" s="7" t="s">
        <v>326</v>
      </c>
      <c r="F335" s="7" t="s">
        <v>318</v>
      </c>
      <c r="G335" s="7" t="s">
        <v>337</v>
      </c>
      <c r="H335" s="7" t="s">
        <v>353</v>
      </c>
      <c r="I335" s="8" t="n">
        <f aca="false">Part_Marks!M55</f>
        <v>1</v>
      </c>
      <c r="J335" s="8" t="n">
        <v>2</v>
      </c>
      <c r="K335" s="8" t="n">
        <f aca="false">J335-I335</f>
        <v>1</v>
      </c>
      <c r="L335" s="7" t="s">
        <v>315</v>
      </c>
    </row>
    <row r="336" customFormat="false" ht="23.85" hidden="false" customHeight="false" outlineLevel="0" collapsed="false">
      <c r="A336" s="7" t="s">
        <v>241</v>
      </c>
      <c r="B336" s="7" t="s">
        <v>242</v>
      </c>
      <c r="C336" s="7" t="s">
        <v>232</v>
      </c>
      <c r="D336" s="7" t="s">
        <v>316</v>
      </c>
      <c r="E336" s="7" t="s">
        <v>329</v>
      </c>
      <c r="F336" s="7" t="s">
        <v>318</v>
      </c>
      <c r="G336" s="7" t="s">
        <v>330</v>
      </c>
      <c r="H336" s="7" t="s">
        <v>339</v>
      </c>
      <c r="I336" s="8" t="n">
        <f aca="false">Part_Marks!O55</f>
        <v>1</v>
      </c>
      <c r="J336" s="8" t="n">
        <v>2</v>
      </c>
      <c r="K336" s="8" t="n">
        <f aca="false">J336-I336</f>
        <v>1</v>
      </c>
      <c r="L336" s="7" t="s">
        <v>315</v>
      </c>
    </row>
    <row r="337" customFormat="false" ht="15" hidden="false" customHeight="false" outlineLevel="0" collapsed="false">
      <c r="A337" s="7" t="s">
        <v>241</v>
      </c>
      <c r="B337" s="7" t="s">
        <v>242</v>
      </c>
      <c r="C337" s="7" t="s">
        <v>232</v>
      </c>
      <c r="D337" s="7" t="s">
        <v>310</v>
      </c>
      <c r="E337" s="7" t="s">
        <v>317</v>
      </c>
      <c r="F337" s="7" t="s">
        <v>318</v>
      </c>
      <c r="G337" s="7" t="s">
        <v>337</v>
      </c>
      <c r="H337" s="7" t="s">
        <v>397</v>
      </c>
      <c r="I337" s="8" t="n">
        <f aca="false">Part_Marks!P55</f>
        <v>2.5</v>
      </c>
      <c r="J337" s="8" t="n">
        <v>4</v>
      </c>
      <c r="K337" s="8" t="n">
        <f aca="false">J337-I337</f>
        <v>1.5</v>
      </c>
      <c r="L337" s="7" t="s">
        <v>315</v>
      </c>
    </row>
    <row r="338" customFormat="false" ht="15" hidden="false" customHeight="false" outlineLevel="0" collapsed="false">
      <c r="A338" s="7" t="s">
        <v>241</v>
      </c>
      <c r="B338" s="7" t="s">
        <v>242</v>
      </c>
      <c r="C338" s="7" t="s">
        <v>140</v>
      </c>
      <c r="D338" s="7" t="s">
        <v>305</v>
      </c>
      <c r="E338" s="7" t="s">
        <v>306</v>
      </c>
      <c r="F338" s="7" t="s">
        <v>307</v>
      </c>
      <c r="G338" s="7" t="s">
        <v>308</v>
      </c>
      <c r="H338" s="7" t="s">
        <v>309</v>
      </c>
      <c r="I338" s="8" t="n">
        <v>0</v>
      </c>
      <c r="J338" s="8" t="n">
        <v>10</v>
      </c>
      <c r="K338" s="8" t="n">
        <f aca="false">J338-I338</f>
        <v>10</v>
      </c>
      <c r="L338" s="7" t="s">
        <v>306</v>
      </c>
    </row>
    <row r="339" customFormat="false" ht="23.85" hidden="false" customHeight="false" outlineLevel="0" collapsed="false">
      <c r="A339" s="7" t="s">
        <v>244</v>
      </c>
      <c r="B339" s="7" t="s">
        <v>245</v>
      </c>
      <c r="C339" s="7" t="s">
        <v>185</v>
      </c>
      <c r="D339" s="7" t="s">
        <v>325</v>
      </c>
      <c r="E339" s="7" t="s">
        <v>326</v>
      </c>
      <c r="F339" s="7" t="s">
        <v>318</v>
      </c>
      <c r="G339" s="7" t="s">
        <v>327</v>
      </c>
      <c r="H339" s="7" t="s">
        <v>328</v>
      </c>
      <c r="I339" s="8" t="n">
        <f aca="false">Part_Marks!C56</f>
        <v>2</v>
      </c>
      <c r="J339" s="8" t="n">
        <v>4</v>
      </c>
      <c r="K339" s="8" t="n">
        <f aca="false">J339-I339</f>
        <v>2</v>
      </c>
      <c r="L339" s="7" t="s">
        <v>315</v>
      </c>
    </row>
    <row r="340" customFormat="false" ht="15" hidden="false" customHeight="false" outlineLevel="0" collapsed="false">
      <c r="A340" s="7" t="s">
        <v>244</v>
      </c>
      <c r="B340" s="7" t="s">
        <v>245</v>
      </c>
      <c r="C340" s="7" t="s">
        <v>185</v>
      </c>
      <c r="D340" s="7" t="s">
        <v>316</v>
      </c>
      <c r="E340" s="7" t="s">
        <v>329</v>
      </c>
      <c r="F340" s="7" t="s">
        <v>318</v>
      </c>
      <c r="G340" s="7" t="s">
        <v>330</v>
      </c>
      <c r="H340" s="7" t="s">
        <v>331</v>
      </c>
      <c r="I340" s="8" t="n">
        <f aca="false">Part_Marks!D56</f>
        <v>2.5</v>
      </c>
      <c r="J340" s="8" t="n">
        <v>3</v>
      </c>
      <c r="K340" s="8" t="n">
        <f aca="false">J340-I340</f>
        <v>0.5</v>
      </c>
      <c r="L340" s="7" t="s">
        <v>315</v>
      </c>
    </row>
    <row r="341" customFormat="false" ht="23.85" hidden="false" customHeight="false" outlineLevel="0" collapsed="false">
      <c r="A341" s="7" t="s">
        <v>244</v>
      </c>
      <c r="B341" s="7" t="s">
        <v>245</v>
      </c>
      <c r="C341" s="7" t="s">
        <v>185</v>
      </c>
      <c r="D341" s="7" t="s">
        <v>310</v>
      </c>
      <c r="E341" s="7" t="s">
        <v>329</v>
      </c>
      <c r="F341" s="7" t="s">
        <v>318</v>
      </c>
      <c r="G341" s="7" t="s">
        <v>330</v>
      </c>
      <c r="H341" s="7" t="s">
        <v>332</v>
      </c>
      <c r="I341" s="8" t="n">
        <f aca="false">Part_Marks!E56</f>
        <v>2</v>
      </c>
      <c r="J341" s="8" t="n">
        <v>3</v>
      </c>
      <c r="K341" s="8" t="n">
        <f aca="false">J341-I341</f>
        <v>1</v>
      </c>
      <c r="L341" s="7" t="s">
        <v>315</v>
      </c>
    </row>
    <row r="342" customFormat="false" ht="15" hidden="false" customHeight="false" outlineLevel="0" collapsed="false">
      <c r="A342" s="7" t="s">
        <v>244</v>
      </c>
      <c r="B342" s="7" t="s">
        <v>245</v>
      </c>
      <c r="C342" s="7" t="s">
        <v>140</v>
      </c>
      <c r="D342" s="7" t="s">
        <v>316</v>
      </c>
      <c r="E342" s="7" t="s">
        <v>329</v>
      </c>
      <c r="F342" s="7" t="s">
        <v>318</v>
      </c>
      <c r="G342" s="7" t="s">
        <v>337</v>
      </c>
      <c r="H342" s="7" t="s">
        <v>403</v>
      </c>
      <c r="I342" s="8" t="n">
        <f aca="false">Part_Marks!G56</f>
        <v>1</v>
      </c>
      <c r="J342" s="8" t="n">
        <v>2</v>
      </c>
      <c r="K342" s="8" t="n">
        <f aca="false">J342-I342</f>
        <v>1</v>
      </c>
      <c r="L342" s="7" t="s">
        <v>315</v>
      </c>
    </row>
    <row r="343" customFormat="false" ht="15" hidden="false" customHeight="false" outlineLevel="0" collapsed="false">
      <c r="A343" s="7" t="s">
        <v>244</v>
      </c>
      <c r="B343" s="7" t="s">
        <v>245</v>
      </c>
      <c r="C343" s="7" t="s">
        <v>49</v>
      </c>
      <c r="D343" s="7" t="s">
        <v>325</v>
      </c>
      <c r="E343" s="7" t="s">
        <v>322</v>
      </c>
      <c r="F343" s="7" t="s">
        <v>318</v>
      </c>
      <c r="G343" s="7" t="s">
        <v>337</v>
      </c>
      <c r="H343" s="7" t="s">
        <v>376</v>
      </c>
      <c r="I343" s="8" t="n">
        <f aca="false">Part_Marks!J56</f>
        <v>0</v>
      </c>
      <c r="J343" s="8" t="n">
        <v>2</v>
      </c>
      <c r="K343" s="8" t="n">
        <f aca="false">J343-I343</f>
        <v>2</v>
      </c>
      <c r="L343" s="7" t="s">
        <v>315</v>
      </c>
    </row>
    <row r="344" customFormat="false" ht="15" hidden="false" customHeight="false" outlineLevel="0" collapsed="false">
      <c r="A344" s="7" t="s">
        <v>244</v>
      </c>
      <c r="B344" s="7" t="s">
        <v>245</v>
      </c>
      <c r="C344" s="7" t="s">
        <v>232</v>
      </c>
      <c r="D344" s="7" t="s">
        <v>305</v>
      </c>
      <c r="E344" s="7" t="s">
        <v>306</v>
      </c>
      <c r="F344" s="7" t="s">
        <v>307</v>
      </c>
      <c r="G344" s="7" t="s">
        <v>308</v>
      </c>
      <c r="H344" s="7" t="s">
        <v>309</v>
      </c>
      <c r="I344" s="8" t="n">
        <v>0</v>
      </c>
      <c r="J344" s="8" t="n">
        <v>10</v>
      </c>
      <c r="K344" s="8" t="n">
        <f aca="false">J344-I344</f>
        <v>10</v>
      </c>
      <c r="L344" s="7" t="s">
        <v>306</v>
      </c>
    </row>
    <row r="345" customFormat="false" ht="23.85" hidden="false" customHeight="false" outlineLevel="0" collapsed="false">
      <c r="A345" s="7" t="s">
        <v>247</v>
      </c>
      <c r="B345" s="7" t="s">
        <v>248</v>
      </c>
      <c r="C345" s="7" t="s">
        <v>185</v>
      </c>
      <c r="D345" s="7" t="s">
        <v>325</v>
      </c>
      <c r="E345" s="7" t="s">
        <v>326</v>
      </c>
      <c r="F345" s="7" t="s">
        <v>318</v>
      </c>
      <c r="G345" s="7" t="s">
        <v>327</v>
      </c>
      <c r="H345" s="7" t="s">
        <v>328</v>
      </c>
      <c r="I345" s="8" t="n">
        <f aca="false">Part_Marks!C57</f>
        <v>2</v>
      </c>
      <c r="J345" s="8" t="n">
        <v>4</v>
      </c>
      <c r="K345" s="8" t="n">
        <f aca="false">J345-I345</f>
        <v>2</v>
      </c>
      <c r="L345" s="7" t="s">
        <v>315</v>
      </c>
    </row>
    <row r="346" customFormat="false" ht="15" hidden="false" customHeight="false" outlineLevel="0" collapsed="false">
      <c r="A346" s="7" t="s">
        <v>247</v>
      </c>
      <c r="B346" s="7" t="s">
        <v>248</v>
      </c>
      <c r="C346" s="7" t="s">
        <v>185</v>
      </c>
      <c r="D346" s="7" t="s">
        <v>316</v>
      </c>
      <c r="E346" s="7" t="s">
        <v>317</v>
      </c>
      <c r="F346" s="7" t="s">
        <v>318</v>
      </c>
      <c r="G346" s="7" t="s">
        <v>327</v>
      </c>
      <c r="H346" s="7" t="s">
        <v>398</v>
      </c>
      <c r="I346" s="8" t="n">
        <f aca="false">Part_Marks!D57</f>
        <v>2</v>
      </c>
      <c r="J346" s="8" t="n">
        <v>3</v>
      </c>
      <c r="K346" s="8" t="n">
        <f aca="false">J346-I346</f>
        <v>1</v>
      </c>
      <c r="L346" s="7" t="s">
        <v>315</v>
      </c>
    </row>
    <row r="347" customFormat="false" ht="23.85" hidden="false" customHeight="false" outlineLevel="0" collapsed="false">
      <c r="A347" s="7" t="s">
        <v>247</v>
      </c>
      <c r="B347" s="7" t="s">
        <v>248</v>
      </c>
      <c r="C347" s="7" t="s">
        <v>140</v>
      </c>
      <c r="D347" s="7" t="s">
        <v>310</v>
      </c>
      <c r="E347" s="7" t="s">
        <v>317</v>
      </c>
      <c r="F347" s="7" t="s">
        <v>318</v>
      </c>
      <c r="G347" s="7" t="s">
        <v>330</v>
      </c>
      <c r="H347" s="7" t="s">
        <v>368</v>
      </c>
      <c r="I347" s="8" t="n">
        <f aca="false">Part_Marks!H57</f>
        <v>2.5</v>
      </c>
      <c r="J347" s="8" t="n">
        <v>4</v>
      </c>
      <c r="K347" s="8" t="n">
        <f aca="false">J347-I347</f>
        <v>1.5</v>
      </c>
      <c r="L347" s="7" t="s">
        <v>315</v>
      </c>
    </row>
    <row r="348" customFormat="false" ht="23.85" hidden="false" customHeight="false" outlineLevel="0" collapsed="false">
      <c r="A348" s="7" t="s">
        <v>247</v>
      </c>
      <c r="B348" s="7" t="s">
        <v>248</v>
      </c>
      <c r="C348" s="7" t="s">
        <v>232</v>
      </c>
      <c r="D348" s="7" t="s">
        <v>325</v>
      </c>
      <c r="E348" s="7" t="s">
        <v>329</v>
      </c>
      <c r="F348" s="7" t="s">
        <v>318</v>
      </c>
      <c r="G348" s="7" t="s">
        <v>337</v>
      </c>
      <c r="H348" s="7" t="s">
        <v>380</v>
      </c>
      <c r="I348" s="8" t="n">
        <f aca="false">Part_Marks!N57</f>
        <v>0.5</v>
      </c>
      <c r="J348" s="8" t="n">
        <v>2</v>
      </c>
      <c r="K348" s="8" t="n">
        <f aca="false">J348-I348</f>
        <v>1.5</v>
      </c>
      <c r="L348" s="7" t="s">
        <v>315</v>
      </c>
    </row>
    <row r="349" customFormat="false" ht="15" hidden="false" customHeight="false" outlineLevel="0" collapsed="false">
      <c r="A349" s="7" t="s">
        <v>247</v>
      </c>
      <c r="B349" s="7" t="s">
        <v>248</v>
      </c>
      <c r="C349" s="7" t="s">
        <v>232</v>
      </c>
      <c r="D349" s="7" t="s">
        <v>316</v>
      </c>
      <c r="E349" s="7" t="s">
        <v>322</v>
      </c>
      <c r="F349" s="7" t="s">
        <v>318</v>
      </c>
      <c r="G349" s="7" t="s">
        <v>330</v>
      </c>
      <c r="H349" s="7" t="s">
        <v>354</v>
      </c>
      <c r="I349" s="8" t="n">
        <f aca="false">Part_Marks!O57</f>
        <v>1</v>
      </c>
      <c r="J349" s="8" t="n">
        <v>2</v>
      </c>
      <c r="K349" s="8" t="n">
        <f aca="false">J349-I349</f>
        <v>1</v>
      </c>
      <c r="L349" s="7" t="s">
        <v>315</v>
      </c>
    </row>
    <row r="350" customFormat="false" ht="23.85" hidden="false" customHeight="false" outlineLevel="0" collapsed="false">
      <c r="A350" s="7" t="s">
        <v>247</v>
      </c>
      <c r="B350" s="7" t="s">
        <v>248</v>
      </c>
      <c r="C350" s="7" t="s">
        <v>232</v>
      </c>
      <c r="D350" s="7" t="s">
        <v>321</v>
      </c>
      <c r="E350" s="7" t="s">
        <v>322</v>
      </c>
      <c r="F350" s="7" t="s">
        <v>318</v>
      </c>
      <c r="G350" s="7" t="s">
        <v>323</v>
      </c>
      <c r="H350" s="7" t="s">
        <v>324</v>
      </c>
      <c r="I350" s="8" t="n">
        <f aca="false">Part_Marks!Q57</f>
        <v>1.5</v>
      </c>
      <c r="J350" s="8" t="n">
        <v>2</v>
      </c>
      <c r="K350" s="8" t="n">
        <f aca="false">J350-I350</f>
        <v>0.5</v>
      </c>
      <c r="L350" s="7" t="s">
        <v>315</v>
      </c>
    </row>
    <row r="351" customFormat="false" ht="15" hidden="false" customHeight="false" outlineLevel="0" collapsed="false">
      <c r="A351" s="7" t="s">
        <v>247</v>
      </c>
      <c r="B351" s="7" t="s">
        <v>248</v>
      </c>
      <c r="C351" s="7" t="s">
        <v>49</v>
      </c>
      <c r="D351" s="7" t="s">
        <v>305</v>
      </c>
      <c r="E351" s="7" t="s">
        <v>306</v>
      </c>
      <c r="F351" s="7" t="s">
        <v>307</v>
      </c>
      <c r="G351" s="7" t="s">
        <v>308</v>
      </c>
      <c r="H351" s="7" t="s">
        <v>309</v>
      </c>
      <c r="I351" s="8" t="n">
        <v>0</v>
      </c>
      <c r="J351" s="8" t="n">
        <v>10</v>
      </c>
      <c r="K351" s="8" t="n">
        <f aca="false">J351-I351</f>
        <v>10</v>
      </c>
      <c r="L351" s="7" t="s">
        <v>306</v>
      </c>
    </row>
    <row r="352" customFormat="false" ht="23.85" hidden="false" customHeight="false" outlineLevel="0" collapsed="false">
      <c r="A352" s="7" t="s">
        <v>250</v>
      </c>
      <c r="B352" s="7" t="s">
        <v>251</v>
      </c>
      <c r="C352" s="7" t="s">
        <v>185</v>
      </c>
      <c r="D352" s="7" t="s">
        <v>325</v>
      </c>
      <c r="E352" s="7" t="s">
        <v>326</v>
      </c>
      <c r="F352" s="7" t="s">
        <v>318</v>
      </c>
      <c r="G352" s="7" t="s">
        <v>327</v>
      </c>
      <c r="H352" s="7" t="s">
        <v>328</v>
      </c>
      <c r="I352" s="8" t="n">
        <f aca="false">Part_Marks!C58</f>
        <v>2</v>
      </c>
      <c r="J352" s="8" t="n">
        <v>4</v>
      </c>
      <c r="K352" s="8" t="n">
        <f aca="false">J352-I352</f>
        <v>2</v>
      </c>
      <c r="L352" s="7" t="s">
        <v>315</v>
      </c>
    </row>
    <row r="353" customFormat="false" ht="23.85" hidden="false" customHeight="false" outlineLevel="0" collapsed="false">
      <c r="A353" s="7" t="s">
        <v>250</v>
      </c>
      <c r="B353" s="7" t="s">
        <v>251</v>
      </c>
      <c r="C353" s="7" t="s">
        <v>185</v>
      </c>
      <c r="D353" s="7" t="s">
        <v>310</v>
      </c>
      <c r="E353" s="7" t="s">
        <v>322</v>
      </c>
      <c r="F353" s="7" t="s">
        <v>318</v>
      </c>
      <c r="G353" s="7" t="s">
        <v>383</v>
      </c>
      <c r="H353" s="7" t="s">
        <v>384</v>
      </c>
      <c r="I353" s="8" t="n">
        <f aca="false">Part_Marks!E58</f>
        <v>2</v>
      </c>
      <c r="J353" s="8" t="n">
        <v>3</v>
      </c>
      <c r="K353" s="8" t="n">
        <f aca="false">J353-I353</f>
        <v>1</v>
      </c>
      <c r="L353" s="7" t="s">
        <v>315</v>
      </c>
    </row>
    <row r="354" customFormat="false" ht="15" hidden="false" customHeight="false" outlineLevel="0" collapsed="false">
      <c r="A354" s="7" t="s">
        <v>250</v>
      </c>
      <c r="B354" s="7" t="s">
        <v>251</v>
      </c>
      <c r="C354" s="7" t="s">
        <v>140</v>
      </c>
      <c r="D354" s="7" t="s">
        <v>325</v>
      </c>
      <c r="E354" s="7" t="s">
        <v>322</v>
      </c>
      <c r="F354" s="7" t="s">
        <v>318</v>
      </c>
      <c r="G354" s="7" t="s">
        <v>337</v>
      </c>
      <c r="H354" s="7" t="s">
        <v>373</v>
      </c>
      <c r="I354" s="8" t="n">
        <f aca="false">Part_Marks!F58</f>
        <v>1</v>
      </c>
      <c r="J354" s="8" t="n">
        <v>2</v>
      </c>
      <c r="K354" s="8" t="n">
        <f aca="false">J354-I354</f>
        <v>1</v>
      </c>
      <c r="L354" s="7" t="s">
        <v>315</v>
      </c>
    </row>
    <row r="355" customFormat="false" ht="23.85" hidden="false" customHeight="false" outlineLevel="0" collapsed="false">
      <c r="A355" s="7" t="s">
        <v>250</v>
      </c>
      <c r="B355" s="7" t="s">
        <v>251</v>
      </c>
      <c r="C355" s="7" t="s">
        <v>140</v>
      </c>
      <c r="D355" s="7" t="s">
        <v>316</v>
      </c>
      <c r="E355" s="7" t="s">
        <v>326</v>
      </c>
      <c r="F355" s="7" t="s">
        <v>318</v>
      </c>
      <c r="G355" s="7" t="s">
        <v>330</v>
      </c>
      <c r="H355" s="7" t="s">
        <v>335</v>
      </c>
      <c r="I355" s="8" t="n">
        <f aca="false">Part_Marks!G58</f>
        <v>1</v>
      </c>
      <c r="J355" s="8" t="n">
        <v>2</v>
      </c>
      <c r="K355" s="8" t="n">
        <f aca="false">J355-I355</f>
        <v>1</v>
      </c>
      <c r="L355" s="7" t="s">
        <v>315</v>
      </c>
    </row>
    <row r="356" customFormat="false" ht="23.85" hidden="false" customHeight="false" outlineLevel="0" collapsed="false">
      <c r="A356" s="7" t="s">
        <v>250</v>
      </c>
      <c r="B356" s="7" t="s">
        <v>251</v>
      </c>
      <c r="C356" s="7" t="s">
        <v>140</v>
      </c>
      <c r="D356" s="7" t="s">
        <v>310</v>
      </c>
      <c r="E356" s="7" t="s">
        <v>322</v>
      </c>
      <c r="F356" s="7" t="s">
        <v>318</v>
      </c>
      <c r="G356" s="7" t="s">
        <v>337</v>
      </c>
      <c r="H356" s="7" t="s">
        <v>374</v>
      </c>
      <c r="I356" s="8" t="n">
        <f aca="false">Part_Marks!H58</f>
        <v>0.5</v>
      </c>
      <c r="J356" s="8" t="n">
        <v>4</v>
      </c>
      <c r="K356" s="8" t="n">
        <f aca="false">J356-I356</f>
        <v>3.5</v>
      </c>
      <c r="L356" s="7" t="s">
        <v>315</v>
      </c>
    </row>
    <row r="357" customFormat="false" ht="23.85" hidden="false" customHeight="false" outlineLevel="0" collapsed="false">
      <c r="A357" s="7" t="s">
        <v>250</v>
      </c>
      <c r="B357" s="7" t="s">
        <v>251</v>
      </c>
      <c r="C357" s="7" t="s">
        <v>140</v>
      </c>
      <c r="D357" s="7" t="s">
        <v>321</v>
      </c>
      <c r="E357" s="7" t="s">
        <v>329</v>
      </c>
      <c r="F357" s="7" t="s">
        <v>318</v>
      </c>
      <c r="G357" s="7" t="s">
        <v>347</v>
      </c>
      <c r="H357" s="7" t="s">
        <v>348</v>
      </c>
      <c r="I357" s="8" t="n">
        <f aca="false">Part_Marks!I58</f>
        <v>1.5</v>
      </c>
      <c r="J357" s="8" t="n">
        <v>2</v>
      </c>
      <c r="K357" s="8" t="n">
        <f aca="false">J357-I357</f>
        <v>0.5</v>
      </c>
      <c r="L357" s="7" t="s">
        <v>315</v>
      </c>
    </row>
    <row r="358" customFormat="false" ht="15" hidden="false" customHeight="false" outlineLevel="0" collapsed="false">
      <c r="A358" s="7" t="s">
        <v>250</v>
      </c>
      <c r="B358" s="7" t="s">
        <v>251</v>
      </c>
      <c r="C358" s="7" t="s">
        <v>49</v>
      </c>
      <c r="D358" s="7" t="s">
        <v>325</v>
      </c>
      <c r="E358" s="7" t="s">
        <v>322</v>
      </c>
      <c r="F358" s="7" t="s">
        <v>318</v>
      </c>
      <c r="G358" s="7" t="s">
        <v>337</v>
      </c>
      <c r="H358" s="7" t="s">
        <v>376</v>
      </c>
      <c r="I358" s="8" t="n">
        <f aca="false">Part_Marks!J58</f>
        <v>0</v>
      </c>
      <c r="J358" s="8" t="n">
        <v>2</v>
      </c>
      <c r="K358" s="8" t="n">
        <f aca="false">J358-I358</f>
        <v>2</v>
      </c>
      <c r="L358" s="7" t="s">
        <v>315</v>
      </c>
    </row>
    <row r="359" customFormat="false" ht="23.85" hidden="false" customHeight="false" outlineLevel="0" collapsed="false">
      <c r="A359" s="7" t="s">
        <v>250</v>
      </c>
      <c r="B359" s="7" t="s">
        <v>251</v>
      </c>
      <c r="C359" s="7" t="s">
        <v>49</v>
      </c>
      <c r="D359" s="7" t="s">
        <v>316</v>
      </c>
      <c r="E359" s="7" t="s">
        <v>326</v>
      </c>
      <c r="F359" s="7" t="s">
        <v>318</v>
      </c>
      <c r="G359" s="7" t="s">
        <v>344</v>
      </c>
      <c r="H359" s="7" t="s">
        <v>377</v>
      </c>
      <c r="I359" s="8" t="n">
        <f aca="false">Part_Marks!K58</f>
        <v>1</v>
      </c>
      <c r="J359" s="8" t="n">
        <v>2</v>
      </c>
      <c r="K359" s="8" t="n">
        <f aca="false">J359-I359</f>
        <v>1</v>
      </c>
      <c r="L359" s="7" t="s">
        <v>315</v>
      </c>
    </row>
    <row r="360" customFormat="false" ht="23.85" hidden="false" customHeight="false" outlineLevel="0" collapsed="false">
      <c r="A360" s="7" t="s">
        <v>250</v>
      </c>
      <c r="B360" s="7" t="s">
        <v>251</v>
      </c>
      <c r="C360" s="7" t="s">
        <v>49</v>
      </c>
      <c r="D360" s="7" t="s">
        <v>310</v>
      </c>
      <c r="E360" s="7" t="s">
        <v>329</v>
      </c>
      <c r="F360" s="7" t="s">
        <v>318</v>
      </c>
      <c r="G360" s="7" t="s">
        <v>330</v>
      </c>
      <c r="H360" s="7" t="s">
        <v>408</v>
      </c>
      <c r="I360" s="8" t="n">
        <f aca="false">Part_Marks!L58</f>
        <v>2.5</v>
      </c>
      <c r="J360" s="8" t="n">
        <v>4</v>
      </c>
      <c r="K360" s="8" t="n">
        <f aca="false">J360-I360</f>
        <v>1.5</v>
      </c>
      <c r="L360" s="7" t="s">
        <v>315</v>
      </c>
    </row>
    <row r="361" customFormat="false" ht="23.85" hidden="false" customHeight="false" outlineLevel="0" collapsed="false">
      <c r="A361" s="7" t="s">
        <v>250</v>
      </c>
      <c r="B361" s="7" t="s">
        <v>251</v>
      </c>
      <c r="C361" s="7" t="s">
        <v>49</v>
      </c>
      <c r="D361" s="7" t="s">
        <v>321</v>
      </c>
      <c r="E361" s="7" t="s">
        <v>326</v>
      </c>
      <c r="F361" s="7" t="s">
        <v>318</v>
      </c>
      <c r="G361" s="7" t="s">
        <v>337</v>
      </c>
      <c r="H361" s="7" t="s">
        <v>353</v>
      </c>
      <c r="I361" s="8" t="n">
        <f aca="false">Part_Marks!M58</f>
        <v>1</v>
      </c>
      <c r="J361" s="8" t="n">
        <v>2</v>
      </c>
      <c r="K361" s="8" t="n">
        <f aca="false">J361-I361</f>
        <v>1</v>
      </c>
      <c r="L361" s="7" t="s">
        <v>315</v>
      </c>
    </row>
    <row r="362" customFormat="false" ht="15" hidden="false" customHeight="false" outlineLevel="0" collapsed="false">
      <c r="A362" s="7" t="s">
        <v>250</v>
      </c>
      <c r="B362" s="7" t="s">
        <v>251</v>
      </c>
      <c r="C362" s="7" t="s">
        <v>232</v>
      </c>
      <c r="D362" s="7" t="s">
        <v>305</v>
      </c>
      <c r="E362" s="7" t="s">
        <v>306</v>
      </c>
      <c r="F362" s="7" t="s">
        <v>307</v>
      </c>
      <c r="G362" s="7" t="s">
        <v>308</v>
      </c>
      <c r="H362" s="7" t="s">
        <v>309</v>
      </c>
      <c r="I362" s="8" t="n">
        <v>0</v>
      </c>
      <c r="J362" s="8" t="n">
        <v>10</v>
      </c>
      <c r="K362" s="8" t="n">
        <f aca="false">J362-I362</f>
        <v>10</v>
      </c>
      <c r="L362" s="7" t="s">
        <v>306</v>
      </c>
    </row>
    <row r="363" customFormat="false" ht="15" hidden="false" customHeight="false" outlineLevel="0" collapsed="false">
      <c r="A363" s="7" t="s">
        <v>253</v>
      </c>
      <c r="B363" s="7" t="s">
        <v>254</v>
      </c>
      <c r="C363" s="7" t="s">
        <v>185</v>
      </c>
      <c r="D363" s="7" t="s">
        <v>325</v>
      </c>
      <c r="E363" s="7" t="s">
        <v>388</v>
      </c>
      <c r="F363" s="7" t="s">
        <v>318</v>
      </c>
      <c r="G363" s="7" t="s">
        <v>389</v>
      </c>
      <c r="H363" s="7" t="s">
        <v>390</v>
      </c>
      <c r="I363" s="8" t="n">
        <f aca="false">Part_Marks!C59</f>
        <v>3.5</v>
      </c>
      <c r="J363" s="8" t="n">
        <v>4</v>
      </c>
      <c r="K363" s="8" t="n">
        <f aca="false">J363-I363</f>
        <v>0.5</v>
      </c>
      <c r="L363" s="7" t="s">
        <v>315</v>
      </c>
    </row>
    <row r="364" customFormat="false" ht="15" hidden="false" customHeight="false" outlineLevel="0" collapsed="false">
      <c r="A364" s="7" t="s">
        <v>253</v>
      </c>
      <c r="B364" s="7" t="s">
        <v>254</v>
      </c>
      <c r="C364" s="7" t="s">
        <v>185</v>
      </c>
      <c r="D364" s="7" t="s">
        <v>316</v>
      </c>
      <c r="E364" s="7" t="s">
        <v>329</v>
      </c>
      <c r="F364" s="7" t="s">
        <v>318</v>
      </c>
      <c r="G364" s="7" t="s">
        <v>330</v>
      </c>
      <c r="H364" s="7" t="s">
        <v>331</v>
      </c>
      <c r="I364" s="8" t="n">
        <f aca="false">Part_Marks!D59</f>
        <v>2.5</v>
      </c>
      <c r="J364" s="8" t="n">
        <v>3</v>
      </c>
      <c r="K364" s="8" t="n">
        <f aca="false">J364-I364</f>
        <v>0.5</v>
      </c>
      <c r="L364" s="7" t="s">
        <v>315</v>
      </c>
    </row>
    <row r="365" customFormat="false" ht="15" hidden="false" customHeight="false" outlineLevel="0" collapsed="false">
      <c r="A365" s="7" t="s">
        <v>253</v>
      </c>
      <c r="B365" s="7" t="s">
        <v>254</v>
      </c>
      <c r="C365" s="7" t="s">
        <v>185</v>
      </c>
      <c r="D365" s="7" t="s">
        <v>310</v>
      </c>
      <c r="E365" s="7" t="s">
        <v>388</v>
      </c>
      <c r="F365" s="7" t="s">
        <v>318</v>
      </c>
      <c r="G365" s="7" t="s">
        <v>389</v>
      </c>
      <c r="H365" s="7" t="s">
        <v>410</v>
      </c>
      <c r="I365" s="8" t="n">
        <f aca="false">Part_Marks!E59</f>
        <v>2.5</v>
      </c>
      <c r="J365" s="8" t="n">
        <v>3</v>
      </c>
      <c r="K365" s="8" t="n">
        <f aca="false">J365-I365</f>
        <v>0.5</v>
      </c>
      <c r="L365" s="7" t="s">
        <v>315</v>
      </c>
    </row>
    <row r="366" customFormat="false" ht="15" hidden="false" customHeight="false" outlineLevel="0" collapsed="false">
      <c r="A366" s="7" t="s">
        <v>253</v>
      </c>
      <c r="B366" s="7" t="s">
        <v>254</v>
      </c>
      <c r="C366" s="7" t="s">
        <v>140</v>
      </c>
      <c r="D366" s="7" t="s">
        <v>316</v>
      </c>
      <c r="E366" s="7" t="s">
        <v>388</v>
      </c>
      <c r="F366" s="7" t="s">
        <v>318</v>
      </c>
      <c r="G366" s="7" t="s">
        <v>389</v>
      </c>
      <c r="H366" s="7" t="s">
        <v>411</v>
      </c>
      <c r="I366" s="8" t="n">
        <f aca="false">Part_Marks!G59</f>
        <v>1.5</v>
      </c>
      <c r="J366" s="8" t="n">
        <v>2</v>
      </c>
      <c r="K366" s="8" t="n">
        <f aca="false">J366-I366</f>
        <v>0.5</v>
      </c>
      <c r="L366" s="7" t="s">
        <v>315</v>
      </c>
    </row>
    <row r="367" customFormat="false" ht="15" hidden="false" customHeight="false" outlineLevel="0" collapsed="false">
      <c r="A367" s="7" t="s">
        <v>253</v>
      </c>
      <c r="B367" s="7" t="s">
        <v>254</v>
      </c>
      <c r="C367" s="7" t="s">
        <v>140</v>
      </c>
      <c r="D367" s="7" t="s">
        <v>310</v>
      </c>
      <c r="E367" s="7" t="s">
        <v>388</v>
      </c>
      <c r="F367" s="7" t="s">
        <v>318</v>
      </c>
      <c r="G367" s="7" t="s">
        <v>389</v>
      </c>
      <c r="H367" s="7" t="s">
        <v>414</v>
      </c>
      <c r="I367" s="8" t="n">
        <f aca="false">Part_Marks!H59</f>
        <v>3.5</v>
      </c>
      <c r="J367" s="8" t="n">
        <v>4</v>
      </c>
      <c r="K367" s="8" t="n">
        <f aca="false">J367-I367</f>
        <v>0.5</v>
      </c>
      <c r="L367" s="7" t="s">
        <v>315</v>
      </c>
    </row>
    <row r="368" customFormat="false" ht="15" hidden="false" customHeight="false" outlineLevel="0" collapsed="false">
      <c r="A368" s="7" t="s">
        <v>253</v>
      </c>
      <c r="B368" s="7" t="s">
        <v>254</v>
      </c>
      <c r="C368" s="7" t="s">
        <v>49</v>
      </c>
      <c r="D368" s="7" t="s">
        <v>305</v>
      </c>
      <c r="E368" s="7" t="s">
        <v>306</v>
      </c>
      <c r="F368" s="7" t="s">
        <v>307</v>
      </c>
      <c r="G368" s="7" t="s">
        <v>308</v>
      </c>
      <c r="H368" s="7" t="s">
        <v>309</v>
      </c>
      <c r="I368" s="8" t="n">
        <v>0</v>
      </c>
      <c r="J368" s="8" t="n">
        <v>10</v>
      </c>
      <c r="K368" s="8" t="n">
        <f aca="false">J368-I368</f>
        <v>10</v>
      </c>
      <c r="L368" s="7" t="s">
        <v>306</v>
      </c>
    </row>
    <row r="369" customFormat="false" ht="15" hidden="false" customHeight="false" outlineLevel="0" collapsed="false">
      <c r="A369" s="7" t="s">
        <v>256</v>
      </c>
      <c r="B369" s="7" t="s">
        <v>257</v>
      </c>
      <c r="C369" s="7" t="s">
        <v>185</v>
      </c>
      <c r="D369" s="7" t="s">
        <v>325</v>
      </c>
      <c r="E369" s="7" t="s">
        <v>358</v>
      </c>
      <c r="F369" s="7" t="s">
        <v>318</v>
      </c>
      <c r="G369" s="7" t="s">
        <v>359</v>
      </c>
      <c r="H369" s="7" t="s">
        <v>360</v>
      </c>
      <c r="I369" s="8" t="n">
        <f aca="false">Part_Marks!C60</f>
        <v>0</v>
      </c>
      <c r="J369" s="8" t="n">
        <v>4</v>
      </c>
      <c r="K369" s="8" t="n">
        <f aca="false">J369-I369</f>
        <v>4</v>
      </c>
      <c r="L369" s="7" t="s">
        <v>315</v>
      </c>
    </row>
    <row r="370" customFormat="false" ht="15" hidden="false" customHeight="false" outlineLevel="0" collapsed="false">
      <c r="A370" s="7" t="s">
        <v>256</v>
      </c>
      <c r="B370" s="7" t="s">
        <v>257</v>
      </c>
      <c r="C370" s="7" t="s">
        <v>185</v>
      </c>
      <c r="D370" s="7" t="s">
        <v>316</v>
      </c>
      <c r="E370" s="7" t="s">
        <v>358</v>
      </c>
      <c r="F370" s="7" t="s">
        <v>318</v>
      </c>
      <c r="G370" s="7" t="s">
        <v>359</v>
      </c>
      <c r="H370" s="7" t="s">
        <v>361</v>
      </c>
      <c r="I370" s="8" t="n">
        <f aca="false">Part_Marks!D60</f>
        <v>0</v>
      </c>
      <c r="J370" s="8" t="n">
        <v>3</v>
      </c>
      <c r="K370" s="8" t="n">
        <f aca="false">J370-I370</f>
        <v>3</v>
      </c>
      <c r="L370" s="7" t="s">
        <v>315</v>
      </c>
    </row>
    <row r="371" customFormat="false" ht="15" hidden="false" customHeight="false" outlineLevel="0" collapsed="false">
      <c r="A371" s="7" t="s">
        <v>256</v>
      </c>
      <c r="B371" s="7" t="s">
        <v>257</v>
      </c>
      <c r="C371" s="7" t="s">
        <v>185</v>
      </c>
      <c r="D371" s="7" t="s">
        <v>310</v>
      </c>
      <c r="E371" s="7" t="s">
        <v>317</v>
      </c>
      <c r="F371" s="7" t="s">
        <v>318</v>
      </c>
      <c r="G371" s="7" t="s">
        <v>405</v>
      </c>
      <c r="H371" s="7" t="s">
        <v>406</v>
      </c>
      <c r="I371" s="8" t="n">
        <f aca="false">Part_Marks!E60</f>
        <v>2.5</v>
      </c>
      <c r="J371" s="8" t="n">
        <v>3</v>
      </c>
      <c r="K371" s="8" t="n">
        <f aca="false">J371-I371</f>
        <v>0.5</v>
      </c>
      <c r="L371" s="7" t="s">
        <v>315</v>
      </c>
    </row>
    <row r="372" customFormat="false" ht="15" hidden="false" customHeight="false" outlineLevel="0" collapsed="false">
      <c r="A372" s="7" t="s">
        <v>256</v>
      </c>
      <c r="B372" s="7" t="s">
        <v>257</v>
      </c>
      <c r="C372" s="7" t="s">
        <v>49</v>
      </c>
      <c r="D372" s="7" t="s">
        <v>316</v>
      </c>
      <c r="E372" s="7" t="s">
        <v>358</v>
      </c>
      <c r="F372" s="7" t="s">
        <v>318</v>
      </c>
      <c r="G372" s="7" t="s">
        <v>359</v>
      </c>
      <c r="H372" s="7" t="s">
        <v>362</v>
      </c>
      <c r="I372" s="8" t="n">
        <f aca="false">Part_Marks!K60</f>
        <v>0</v>
      </c>
      <c r="J372" s="8" t="n">
        <v>2</v>
      </c>
      <c r="K372" s="8" t="n">
        <f aca="false">J372-I372</f>
        <v>2</v>
      </c>
      <c r="L372" s="7" t="s">
        <v>315</v>
      </c>
    </row>
    <row r="373" customFormat="false" ht="15" hidden="false" customHeight="false" outlineLevel="0" collapsed="false">
      <c r="A373" s="7" t="s">
        <v>256</v>
      </c>
      <c r="B373" s="7" t="s">
        <v>257</v>
      </c>
      <c r="C373" s="7" t="s">
        <v>49</v>
      </c>
      <c r="D373" s="7" t="s">
        <v>310</v>
      </c>
      <c r="E373" s="7" t="s">
        <v>358</v>
      </c>
      <c r="F373" s="7" t="s">
        <v>318</v>
      </c>
      <c r="G373" s="7" t="s">
        <v>359</v>
      </c>
      <c r="H373" s="7" t="s">
        <v>363</v>
      </c>
      <c r="I373" s="8" t="n">
        <f aca="false">Part_Marks!L60</f>
        <v>0</v>
      </c>
      <c r="J373" s="8" t="n">
        <v>4</v>
      </c>
      <c r="K373" s="8" t="n">
        <f aca="false">J373-I373</f>
        <v>4</v>
      </c>
      <c r="L373" s="7" t="s">
        <v>315</v>
      </c>
    </row>
    <row r="374" customFormat="false" ht="15" hidden="false" customHeight="false" outlineLevel="0" collapsed="false">
      <c r="A374" s="7" t="s">
        <v>256</v>
      </c>
      <c r="B374" s="7" t="s">
        <v>257</v>
      </c>
      <c r="C374" s="7" t="s">
        <v>232</v>
      </c>
      <c r="D374" s="7" t="s">
        <v>305</v>
      </c>
      <c r="E374" s="7" t="s">
        <v>306</v>
      </c>
      <c r="F374" s="7" t="s">
        <v>307</v>
      </c>
      <c r="G374" s="7" t="s">
        <v>308</v>
      </c>
      <c r="H374" s="7" t="s">
        <v>309</v>
      </c>
      <c r="I374" s="8" t="n">
        <v>0</v>
      </c>
      <c r="J374" s="8" t="n">
        <v>10</v>
      </c>
      <c r="K374" s="8" t="n">
        <f aca="false">J374-I374</f>
        <v>10</v>
      </c>
      <c r="L374" s="7" t="s">
        <v>306</v>
      </c>
    </row>
    <row r="375" customFormat="false" ht="15" hidden="false" customHeight="false" outlineLevel="0" collapsed="false">
      <c r="A375" s="7" t="s">
        <v>260</v>
      </c>
      <c r="B375" s="7" t="s">
        <v>261</v>
      </c>
      <c r="C375" s="7" t="s">
        <v>185</v>
      </c>
      <c r="D375" s="7" t="s">
        <v>325</v>
      </c>
      <c r="E375" s="7" t="s">
        <v>322</v>
      </c>
      <c r="F375" s="7" t="s">
        <v>318</v>
      </c>
      <c r="G375" s="7" t="s">
        <v>319</v>
      </c>
      <c r="H375" s="7" t="s">
        <v>409</v>
      </c>
      <c r="I375" s="8" t="n">
        <f aca="false">Part_Marks!C61</f>
        <v>3</v>
      </c>
      <c r="J375" s="8" t="n">
        <v>4</v>
      </c>
      <c r="K375" s="8" t="n">
        <f aca="false">J375-I375</f>
        <v>1</v>
      </c>
      <c r="L375" s="7" t="s">
        <v>315</v>
      </c>
    </row>
    <row r="376" customFormat="false" ht="23.85" hidden="false" customHeight="false" outlineLevel="0" collapsed="false">
      <c r="A376" s="7" t="s">
        <v>260</v>
      </c>
      <c r="B376" s="7" t="s">
        <v>261</v>
      </c>
      <c r="C376" s="7" t="s">
        <v>185</v>
      </c>
      <c r="D376" s="7" t="s">
        <v>310</v>
      </c>
      <c r="E376" s="7" t="s">
        <v>329</v>
      </c>
      <c r="F376" s="7" t="s">
        <v>318</v>
      </c>
      <c r="G376" s="7" t="s">
        <v>330</v>
      </c>
      <c r="H376" s="7" t="s">
        <v>332</v>
      </c>
      <c r="I376" s="8" t="n">
        <f aca="false">Part_Marks!E61</f>
        <v>2</v>
      </c>
      <c r="J376" s="8" t="n">
        <v>3</v>
      </c>
      <c r="K376" s="8" t="n">
        <f aca="false">J376-I376</f>
        <v>1</v>
      </c>
      <c r="L376" s="7" t="s">
        <v>315</v>
      </c>
    </row>
    <row r="377" customFormat="false" ht="15" hidden="false" customHeight="false" outlineLevel="0" collapsed="false">
      <c r="A377" s="7" t="s">
        <v>260</v>
      </c>
      <c r="B377" s="7" t="s">
        <v>261</v>
      </c>
      <c r="C377" s="7" t="s">
        <v>140</v>
      </c>
      <c r="D377" s="7" t="s">
        <v>325</v>
      </c>
      <c r="E377" s="7" t="s">
        <v>326</v>
      </c>
      <c r="F377" s="7" t="s">
        <v>318</v>
      </c>
      <c r="G377" s="7" t="s">
        <v>319</v>
      </c>
      <c r="H377" s="7" t="s">
        <v>367</v>
      </c>
      <c r="I377" s="8" t="n">
        <f aca="false">Part_Marks!F61</f>
        <v>1.5</v>
      </c>
      <c r="J377" s="8" t="n">
        <v>2</v>
      </c>
      <c r="K377" s="8" t="n">
        <f aca="false">J377-I377</f>
        <v>0.5</v>
      </c>
      <c r="L377" s="7" t="s">
        <v>315</v>
      </c>
    </row>
    <row r="378" customFormat="false" ht="23.85" hidden="false" customHeight="false" outlineLevel="0" collapsed="false">
      <c r="A378" s="7" t="s">
        <v>260</v>
      </c>
      <c r="B378" s="7" t="s">
        <v>261</v>
      </c>
      <c r="C378" s="7" t="s">
        <v>140</v>
      </c>
      <c r="D378" s="7" t="s">
        <v>321</v>
      </c>
      <c r="E378" s="7" t="s">
        <v>322</v>
      </c>
      <c r="F378" s="7" t="s">
        <v>318</v>
      </c>
      <c r="G378" s="7" t="s">
        <v>337</v>
      </c>
      <c r="H378" s="7" t="s">
        <v>375</v>
      </c>
      <c r="I378" s="8" t="n">
        <f aca="false">Part_Marks!I61</f>
        <v>1</v>
      </c>
      <c r="J378" s="8" t="n">
        <v>2</v>
      </c>
      <c r="K378" s="8" t="n">
        <f aca="false">J378-I378</f>
        <v>1</v>
      </c>
      <c r="L378" s="7" t="s">
        <v>315</v>
      </c>
    </row>
    <row r="379" customFormat="false" ht="15" hidden="false" customHeight="false" outlineLevel="0" collapsed="false">
      <c r="A379" s="7" t="s">
        <v>260</v>
      </c>
      <c r="B379" s="7" t="s">
        <v>261</v>
      </c>
      <c r="C379" s="7" t="s">
        <v>49</v>
      </c>
      <c r="D379" s="7" t="s">
        <v>310</v>
      </c>
      <c r="E379" s="7" t="s">
        <v>317</v>
      </c>
      <c r="F379" s="7" t="s">
        <v>318</v>
      </c>
      <c r="G379" s="7" t="s">
        <v>330</v>
      </c>
      <c r="H379" s="7" t="s">
        <v>352</v>
      </c>
      <c r="I379" s="8" t="n">
        <f aca="false">Part_Marks!L61</f>
        <v>3</v>
      </c>
      <c r="J379" s="8" t="n">
        <v>4</v>
      </c>
      <c r="K379" s="8" t="n">
        <f aca="false">J379-I379</f>
        <v>1</v>
      </c>
      <c r="L379" s="7" t="s">
        <v>315</v>
      </c>
    </row>
    <row r="380" customFormat="false" ht="15" hidden="false" customHeight="false" outlineLevel="0" collapsed="false">
      <c r="A380" s="7" t="s">
        <v>260</v>
      </c>
      <c r="B380" s="7" t="s">
        <v>261</v>
      </c>
      <c r="C380" s="7" t="s">
        <v>49</v>
      </c>
      <c r="D380" s="7" t="s">
        <v>321</v>
      </c>
      <c r="E380" s="7" t="s">
        <v>322</v>
      </c>
      <c r="F380" s="7" t="s">
        <v>318</v>
      </c>
      <c r="G380" s="7" t="s">
        <v>337</v>
      </c>
      <c r="H380" s="7" t="s">
        <v>379</v>
      </c>
      <c r="I380" s="8" t="n">
        <f aca="false">Part_Marks!M61</f>
        <v>0</v>
      </c>
      <c r="J380" s="8" t="n">
        <v>2</v>
      </c>
      <c r="K380" s="8" t="n">
        <f aca="false">J380-I380</f>
        <v>2</v>
      </c>
      <c r="L380" s="7" t="s">
        <v>315</v>
      </c>
    </row>
    <row r="381" customFormat="false" ht="15" hidden="false" customHeight="false" outlineLevel="0" collapsed="false">
      <c r="A381" s="7" t="s">
        <v>260</v>
      </c>
      <c r="B381" s="7" t="s">
        <v>261</v>
      </c>
      <c r="C381" s="7" t="s">
        <v>232</v>
      </c>
      <c r="D381" s="7" t="s">
        <v>305</v>
      </c>
      <c r="E381" s="7" t="s">
        <v>306</v>
      </c>
      <c r="F381" s="7" t="s">
        <v>307</v>
      </c>
      <c r="G381" s="7" t="s">
        <v>308</v>
      </c>
      <c r="H381" s="7" t="s">
        <v>309</v>
      </c>
      <c r="I381" s="8" t="n">
        <v>0</v>
      </c>
      <c r="J381" s="8" t="n">
        <v>10</v>
      </c>
      <c r="K381" s="8" t="n">
        <f aca="false">J381-I381</f>
        <v>10</v>
      </c>
      <c r="L381" s="7" t="s">
        <v>306</v>
      </c>
    </row>
    <row r="382" customFormat="false" ht="15" hidden="false" customHeight="false" outlineLevel="0" collapsed="false">
      <c r="A382" s="7" t="s">
        <v>263</v>
      </c>
      <c r="B382" s="7" t="s">
        <v>264</v>
      </c>
      <c r="C382" s="7" t="s">
        <v>185</v>
      </c>
      <c r="D382" s="7" t="s">
        <v>316</v>
      </c>
      <c r="E382" s="7" t="s">
        <v>317</v>
      </c>
      <c r="F382" s="7" t="s">
        <v>318</v>
      </c>
      <c r="G382" s="7" t="s">
        <v>327</v>
      </c>
      <c r="H382" s="7" t="s">
        <v>398</v>
      </c>
      <c r="I382" s="8" t="n">
        <f aca="false">Part_Marks!D62</f>
        <v>2</v>
      </c>
      <c r="J382" s="8" t="n">
        <v>3</v>
      </c>
      <c r="K382" s="8" t="n">
        <f aca="false">J382-I382</f>
        <v>1</v>
      </c>
      <c r="L382" s="7" t="s">
        <v>315</v>
      </c>
    </row>
    <row r="383" customFormat="false" ht="15" hidden="false" customHeight="false" outlineLevel="0" collapsed="false">
      <c r="A383" s="7" t="s">
        <v>263</v>
      </c>
      <c r="B383" s="7" t="s">
        <v>264</v>
      </c>
      <c r="C383" s="7" t="s">
        <v>185</v>
      </c>
      <c r="D383" s="7" t="s">
        <v>310</v>
      </c>
      <c r="E383" s="7" t="s">
        <v>317</v>
      </c>
      <c r="F383" s="7" t="s">
        <v>318</v>
      </c>
      <c r="G383" s="7" t="s">
        <v>405</v>
      </c>
      <c r="H383" s="7" t="s">
        <v>406</v>
      </c>
      <c r="I383" s="8" t="n">
        <f aca="false">Part_Marks!E62</f>
        <v>2.5</v>
      </c>
      <c r="J383" s="8" t="n">
        <v>3</v>
      </c>
      <c r="K383" s="8" t="n">
        <f aca="false">J383-I383</f>
        <v>0.5</v>
      </c>
      <c r="L383" s="7" t="s">
        <v>315</v>
      </c>
    </row>
    <row r="384" customFormat="false" ht="23.85" hidden="false" customHeight="false" outlineLevel="0" collapsed="false">
      <c r="A384" s="7" t="s">
        <v>263</v>
      </c>
      <c r="B384" s="7" t="s">
        <v>264</v>
      </c>
      <c r="C384" s="7" t="s">
        <v>232</v>
      </c>
      <c r="D384" s="7" t="s">
        <v>325</v>
      </c>
      <c r="E384" s="7" t="s">
        <v>322</v>
      </c>
      <c r="F384" s="7" t="s">
        <v>318</v>
      </c>
      <c r="G384" s="7" t="s">
        <v>330</v>
      </c>
      <c r="H384" s="7" t="s">
        <v>396</v>
      </c>
      <c r="I384" s="8" t="n">
        <f aca="false">Part_Marks!N62</f>
        <v>1</v>
      </c>
      <c r="J384" s="8" t="n">
        <v>2</v>
      </c>
      <c r="K384" s="8" t="n">
        <f aca="false">J384-I384</f>
        <v>1</v>
      </c>
      <c r="L384" s="7" t="s">
        <v>315</v>
      </c>
    </row>
    <row r="385" customFormat="false" ht="15" hidden="false" customHeight="false" outlineLevel="0" collapsed="false">
      <c r="A385" s="7" t="s">
        <v>263</v>
      </c>
      <c r="B385" s="7" t="s">
        <v>264</v>
      </c>
      <c r="C385" s="7" t="s">
        <v>232</v>
      </c>
      <c r="D385" s="7" t="s">
        <v>310</v>
      </c>
      <c r="E385" s="7" t="s">
        <v>326</v>
      </c>
      <c r="F385" s="7" t="s">
        <v>318</v>
      </c>
      <c r="G385" s="7" t="s">
        <v>333</v>
      </c>
      <c r="H385" s="7" t="s">
        <v>371</v>
      </c>
      <c r="I385" s="8" t="n">
        <f aca="false">Part_Marks!P62</f>
        <v>3</v>
      </c>
      <c r="J385" s="8" t="n">
        <v>4</v>
      </c>
      <c r="K385" s="8" t="n">
        <f aca="false">J385-I385</f>
        <v>1</v>
      </c>
      <c r="L385" s="7" t="s">
        <v>315</v>
      </c>
    </row>
    <row r="386" customFormat="false" ht="15" hidden="false" customHeight="false" outlineLevel="0" collapsed="false">
      <c r="A386" s="7" t="s">
        <v>263</v>
      </c>
      <c r="B386" s="7" t="s">
        <v>264</v>
      </c>
      <c r="C386" s="7" t="s">
        <v>140</v>
      </c>
      <c r="D386" s="7" t="s">
        <v>305</v>
      </c>
      <c r="E386" s="7" t="s">
        <v>306</v>
      </c>
      <c r="F386" s="7" t="s">
        <v>307</v>
      </c>
      <c r="G386" s="7" t="s">
        <v>308</v>
      </c>
      <c r="H386" s="7" t="s">
        <v>309</v>
      </c>
      <c r="I386" s="8" t="n">
        <v>0</v>
      </c>
      <c r="J386" s="8" t="n">
        <v>10</v>
      </c>
      <c r="K386" s="8" t="n">
        <f aca="false">J386-I386</f>
        <v>10</v>
      </c>
      <c r="L386" s="7" t="s">
        <v>306</v>
      </c>
    </row>
    <row r="387" customFormat="false" ht="23.85" hidden="false" customHeight="false" outlineLevel="0" collapsed="false">
      <c r="A387" s="7" t="s">
        <v>266</v>
      </c>
      <c r="B387" s="7" t="s">
        <v>267</v>
      </c>
      <c r="C387" s="7" t="s">
        <v>140</v>
      </c>
      <c r="D387" s="7" t="s">
        <v>310</v>
      </c>
      <c r="E387" s="7" t="s">
        <v>322</v>
      </c>
      <c r="F387" s="7" t="s">
        <v>318</v>
      </c>
      <c r="G387" s="7" t="s">
        <v>337</v>
      </c>
      <c r="H387" s="7" t="s">
        <v>374</v>
      </c>
      <c r="I387" s="8" t="n">
        <f aca="false">Part_Marks!H63</f>
        <v>0.5</v>
      </c>
      <c r="J387" s="8" t="n">
        <v>4</v>
      </c>
      <c r="K387" s="8" t="n">
        <f aca="false">J387-I387</f>
        <v>3.5</v>
      </c>
      <c r="L387" s="7" t="s">
        <v>315</v>
      </c>
    </row>
    <row r="388" customFormat="false" ht="15" hidden="false" customHeight="false" outlineLevel="0" collapsed="false">
      <c r="A388" s="7" t="s">
        <v>266</v>
      </c>
      <c r="B388" s="7" t="s">
        <v>267</v>
      </c>
      <c r="C388" s="7" t="s">
        <v>49</v>
      </c>
      <c r="D388" s="7" t="s">
        <v>316</v>
      </c>
      <c r="E388" s="7" t="s">
        <v>329</v>
      </c>
      <c r="F388" s="7" t="s">
        <v>318</v>
      </c>
      <c r="G388" s="7" t="s">
        <v>330</v>
      </c>
      <c r="H388" s="7" t="s">
        <v>351</v>
      </c>
      <c r="I388" s="8" t="n">
        <f aca="false">Part_Marks!K63</f>
        <v>1.5</v>
      </c>
      <c r="J388" s="8" t="n">
        <v>2</v>
      </c>
      <c r="K388" s="8" t="n">
        <f aca="false">J388-I388</f>
        <v>0.5</v>
      </c>
      <c r="L388" s="7" t="s">
        <v>315</v>
      </c>
    </row>
    <row r="389" customFormat="false" ht="23.85" hidden="false" customHeight="false" outlineLevel="0" collapsed="false">
      <c r="A389" s="7" t="s">
        <v>266</v>
      </c>
      <c r="B389" s="7" t="s">
        <v>267</v>
      </c>
      <c r="C389" s="7" t="s">
        <v>232</v>
      </c>
      <c r="D389" s="7" t="s">
        <v>325</v>
      </c>
      <c r="E389" s="7" t="s">
        <v>329</v>
      </c>
      <c r="F389" s="7" t="s">
        <v>318</v>
      </c>
      <c r="G389" s="7" t="s">
        <v>337</v>
      </c>
      <c r="H389" s="7" t="s">
        <v>380</v>
      </c>
      <c r="I389" s="8" t="n">
        <f aca="false">Part_Marks!N63</f>
        <v>0.5</v>
      </c>
      <c r="J389" s="8" t="n">
        <v>2</v>
      </c>
      <c r="K389" s="8" t="n">
        <f aca="false">J389-I389</f>
        <v>1.5</v>
      </c>
      <c r="L389" s="7" t="s">
        <v>315</v>
      </c>
    </row>
    <row r="390" customFormat="false" ht="15" hidden="false" customHeight="false" outlineLevel="0" collapsed="false">
      <c r="A390" s="7" t="s">
        <v>266</v>
      </c>
      <c r="B390" s="7" t="s">
        <v>267</v>
      </c>
      <c r="C390" s="7" t="s">
        <v>232</v>
      </c>
      <c r="D390" s="7" t="s">
        <v>310</v>
      </c>
      <c r="E390" s="7" t="s">
        <v>326</v>
      </c>
      <c r="F390" s="7" t="s">
        <v>318</v>
      </c>
      <c r="G390" s="7" t="s">
        <v>333</v>
      </c>
      <c r="H390" s="7" t="s">
        <v>371</v>
      </c>
      <c r="I390" s="8" t="n">
        <f aca="false">Part_Marks!P63</f>
        <v>3</v>
      </c>
      <c r="J390" s="8" t="n">
        <v>4</v>
      </c>
      <c r="K390" s="8" t="n">
        <f aca="false">J390-I390</f>
        <v>1</v>
      </c>
      <c r="L390" s="7" t="s">
        <v>315</v>
      </c>
    </row>
    <row r="391" customFormat="false" ht="15" hidden="false" customHeight="false" outlineLevel="0" collapsed="false">
      <c r="A391" s="7" t="s">
        <v>266</v>
      </c>
      <c r="B391" s="7" t="s">
        <v>267</v>
      </c>
      <c r="C391" s="7" t="s">
        <v>185</v>
      </c>
      <c r="D391" s="7" t="s">
        <v>305</v>
      </c>
      <c r="E391" s="7" t="s">
        <v>306</v>
      </c>
      <c r="F391" s="7" t="s">
        <v>8</v>
      </c>
      <c r="G391" s="7" t="s">
        <v>356</v>
      </c>
      <c r="H391" s="7" t="s">
        <v>357</v>
      </c>
      <c r="I391" s="8" t="n">
        <f aca="false">SUM(Part_Marks!C63:E63)</f>
        <v>10</v>
      </c>
      <c r="J391" s="8" t="n">
        <v>10</v>
      </c>
      <c r="K391" s="8" t="n">
        <f aca="false">J391-I391</f>
        <v>0</v>
      </c>
      <c r="L391" s="7" t="s">
        <v>350</v>
      </c>
    </row>
    <row r="392" customFormat="false" ht="15" hidden="false" customHeight="false" outlineLevel="0" collapsed="false">
      <c r="A392" s="7" t="s">
        <v>270</v>
      </c>
      <c r="B392" s="7" t="s">
        <v>271</v>
      </c>
      <c r="C392" s="7" t="s">
        <v>185</v>
      </c>
      <c r="D392" s="7" t="s">
        <v>325</v>
      </c>
      <c r="E392" s="7" t="s">
        <v>322</v>
      </c>
      <c r="F392" s="7" t="s">
        <v>318</v>
      </c>
      <c r="G392" s="7" t="s">
        <v>319</v>
      </c>
      <c r="H392" s="7" t="s">
        <v>409</v>
      </c>
      <c r="I392" s="8" t="n">
        <f aca="false">Part_Marks!C64</f>
        <v>3</v>
      </c>
      <c r="J392" s="8" t="n">
        <v>4</v>
      </c>
      <c r="K392" s="8" t="n">
        <f aca="false">J392-I392</f>
        <v>1</v>
      </c>
      <c r="L392" s="7" t="s">
        <v>315</v>
      </c>
    </row>
    <row r="393" customFormat="false" ht="23.85" hidden="false" customHeight="false" outlineLevel="0" collapsed="false">
      <c r="A393" s="7" t="s">
        <v>270</v>
      </c>
      <c r="B393" s="7" t="s">
        <v>271</v>
      </c>
      <c r="C393" s="7" t="s">
        <v>185</v>
      </c>
      <c r="D393" s="7" t="s">
        <v>310</v>
      </c>
      <c r="E393" s="7" t="s">
        <v>322</v>
      </c>
      <c r="F393" s="7" t="s">
        <v>318</v>
      </c>
      <c r="G393" s="7" t="s">
        <v>383</v>
      </c>
      <c r="H393" s="7" t="s">
        <v>384</v>
      </c>
      <c r="I393" s="8" t="n">
        <f aca="false">Part_Marks!E64</f>
        <v>2</v>
      </c>
      <c r="J393" s="8" t="n">
        <v>3</v>
      </c>
      <c r="K393" s="8" t="n">
        <f aca="false">J393-I393</f>
        <v>1</v>
      </c>
      <c r="L393" s="7" t="s">
        <v>315</v>
      </c>
    </row>
    <row r="394" customFormat="false" ht="23.85" hidden="false" customHeight="false" outlineLevel="0" collapsed="false">
      <c r="A394" s="7" t="s">
        <v>270</v>
      </c>
      <c r="B394" s="7" t="s">
        <v>271</v>
      </c>
      <c r="C394" s="7" t="s">
        <v>140</v>
      </c>
      <c r="D394" s="7" t="s">
        <v>310</v>
      </c>
      <c r="E394" s="7" t="s">
        <v>317</v>
      </c>
      <c r="F394" s="7" t="s">
        <v>318</v>
      </c>
      <c r="G394" s="7" t="s">
        <v>330</v>
      </c>
      <c r="H394" s="7" t="s">
        <v>368</v>
      </c>
      <c r="I394" s="8" t="n">
        <f aca="false">Part_Marks!H64</f>
        <v>2.5</v>
      </c>
      <c r="J394" s="8" t="n">
        <v>4</v>
      </c>
      <c r="K394" s="8" t="n">
        <f aca="false">J394-I394</f>
        <v>1.5</v>
      </c>
      <c r="L394" s="7" t="s">
        <v>315</v>
      </c>
    </row>
    <row r="395" customFormat="false" ht="15" hidden="false" customHeight="false" outlineLevel="0" collapsed="false">
      <c r="A395" s="7" t="s">
        <v>270</v>
      </c>
      <c r="B395" s="7" t="s">
        <v>271</v>
      </c>
      <c r="C395" s="7" t="s">
        <v>49</v>
      </c>
      <c r="D395" s="7" t="s">
        <v>325</v>
      </c>
      <c r="E395" s="7" t="s">
        <v>329</v>
      </c>
      <c r="F395" s="7" t="s">
        <v>318</v>
      </c>
      <c r="G395" s="7" t="s">
        <v>319</v>
      </c>
      <c r="H395" s="7" t="s">
        <v>385</v>
      </c>
      <c r="I395" s="8" t="n">
        <f aca="false">Part_Marks!J64</f>
        <v>1</v>
      </c>
      <c r="J395" s="8" t="n">
        <v>2</v>
      </c>
      <c r="K395" s="8" t="n">
        <f aca="false">J395-I395</f>
        <v>1</v>
      </c>
      <c r="L395" s="7" t="s">
        <v>315</v>
      </c>
    </row>
    <row r="396" customFormat="false" ht="15" hidden="false" customHeight="false" outlineLevel="0" collapsed="false">
      <c r="A396" s="7" t="s">
        <v>270</v>
      </c>
      <c r="B396" s="7" t="s">
        <v>271</v>
      </c>
      <c r="C396" s="7" t="s">
        <v>49</v>
      </c>
      <c r="D396" s="7" t="s">
        <v>310</v>
      </c>
      <c r="E396" s="7" t="s">
        <v>317</v>
      </c>
      <c r="F396" s="7" t="s">
        <v>318</v>
      </c>
      <c r="G396" s="7" t="s">
        <v>330</v>
      </c>
      <c r="H396" s="7" t="s">
        <v>352</v>
      </c>
      <c r="I396" s="8" t="n">
        <f aca="false">Part_Marks!L64</f>
        <v>3</v>
      </c>
      <c r="J396" s="8" t="n">
        <v>4</v>
      </c>
      <c r="K396" s="8" t="n">
        <f aca="false">J396-I396</f>
        <v>1</v>
      </c>
      <c r="L396" s="7" t="s">
        <v>315</v>
      </c>
    </row>
    <row r="397" customFormat="false" ht="23.85" hidden="false" customHeight="false" outlineLevel="0" collapsed="false">
      <c r="A397" s="7" t="s">
        <v>270</v>
      </c>
      <c r="B397" s="7" t="s">
        <v>271</v>
      </c>
      <c r="C397" s="7" t="s">
        <v>232</v>
      </c>
      <c r="D397" s="7" t="s">
        <v>321</v>
      </c>
      <c r="E397" s="7" t="s">
        <v>329</v>
      </c>
      <c r="F397" s="7" t="s">
        <v>318</v>
      </c>
      <c r="G397" s="7" t="s">
        <v>347</v>
      </c>
      <c r="H397" s="7" t="s">
        <v>372</v>
      </c>
      <c r="I397" s="8" t="n">
        <f aca="false">Part_Marks!Q64</f>
        <v>1.5</v>
      </c>
      <c r="J397" s="8" t="n">
        <v>2</v>
      </c>
      <c r="K397" s="8" t="n">
        <f aca="false">J397-I397</f>
        <v>0.5</v>
      </c>
      <c r="L397" s="7" t="s">
        <v>315</v>
      </c>
    </row>
  </sheetData>
  <autoFilter ref="A3:L39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70"/>
    <col collapsed="false" customWidth="true" hidden="false" outlineLevel="0" max="4" min="4" style="0" width="90"/>
  </cols>
  <sheetData>
    <row r="1" customFormat="false" ht="16.15" hidden="false" customHeight="false" outlineLevel="0" collapsed="false">
      <c r="A1" s="1" t="s">
        <v>415</v>
      </c>
    </row>
    <row r="2" customFormat="false" ht="15" hidden="false" customHeight="false" outlineLevel="0" collapsed="false">
      <c r="A2" s="2" t="s">
        <v>416</v>
      </c>
    </row>
    <row r="3" customFormat="false" ht="15" hidden="false" customHeight="false" outlineLevel="0" collapsed="false">
      <c r="A3" s="3" t="s">
        <v>297</v>
      </c>
      <c r="B3" s="3" t="s">
        <v>23</v>
      </c>
      <c r="C3" s="3" t="s">
        <v>417</v>
      </c>
      <c r="D3" s="3" t="s">
        <v>418</v>
      </c>
    </row>
    <row r="4" customFormat="false" ht="23.85" hidden="false" customHeight="false" outlineLevel="0" collapsed="false">
      <c r="A4" s="7" t="s">
        <v>278</v>
      </c>
      <c r="B4" s="7" t="n">
        <v>4</v>
      </c>
      <c r="C4" s="7" t="s">
        <v>419</v>
      </c>
      <c r="D4" s="7" t="s">
        <v>420</v>
      </c>
    </row>
    <row r="5" customFormat="false" ht="15" hidden="false" customHeight="false" outlineLevel="0" collapsed="false">
      <c r="A5" s="7" t="s">
        <v>279</v>
      </c>
      <c r="B5" s="7" t="n">
        <v>3</v>
      </c>
      <c r="C5" s="7" t="s">
        <v>421</v>
      </c>
      <c r="D5" s="7" t="s">
        <v>422</v>
      </c>
    </row>
    <row r="6" customFormat="false" ht="15" hidden="false" customHeight="false" outlineLevel="0" collapsed="false">
      <c r="A6" s="7" t="s">
        <v>280</v>
      </c>
      <c r="B6" s="7" t="n">
        <v>3</v>
      </c>
      <c r="C6" s="7" t="s">
        <v>423</v>
      </c>
      <c r="D6" s="7" t="s">
        <v>424</v>
      </c>
    </row>
    <row r="7" customFormat="false" ht="23.85" hidden="false" customHeight="false" outlineLevel="0" collapsed="false">
      <c r="A7" s="7" t="s">
        <v>281</v>
      </c>
      <c r="B7" s="7" t="n">
        <v>2</v>
      </c>
      <c r="C7" s="7" t="s">
        <v>425</v>
      </c>
      <c r="D7" s="7" t="s">
        <v>426</v>
      </c>
    </row>
    <row r="8" customFormat="false" ht="15" hidden="false" customHeight="false" outlineLevel="0" collapsed="false">
      <c r="A8" s="7" t="s">
        <v>282</v>
      </c>
      <c r="B8" s="7" t="n">
        <v>2</v>
      </c>
      <c r="C8" s="7" t="s">
        <v>427</v>
      </c>
      <c r="D8" s="7" t="s">
        <v>428</v>
      </c>
    </row>
    <row r="9" customFormat="false" ht="23.85" hidden="false" customHeight="false" outlineLevel="0" collapsed="false">
      <c r="A9" s="7" t="s">
        <v>283</v>
      </c>
      <c r="B9" s="7" t="n">
        <v>4</v>
      </c>
      <c r="C9" s="7" t="s">
        <v>429</v>
      </c>
      <c r="D9" s="7" t="s">
        <v>430</v>
      </c>
    </row>
    <row r="10" customFormat="false" ht="23.85" hidden="false" customHeight="false" outlineLevel="0" collapsed="false">
      <c r="A10" s="7" t="s">
        <v>284</v>
      </c>
      <c r="B10" s="7" t="n">
        <v>2</v>
      </c>
      <c r="C10" s="7" t="s">
        <v>431</v>
      </c>
      <c r="D10" s="7" t="s">
        <v>432</v>
      </c>
    </row>
    <row r="11" customFormat="false" ht="23.85" hidden="false" customHeight="false" outlineLevel="0" collapsed="false">
      <c r="A11" s="7" t="s">
        <v>285</v>
      </c>
      <c r="B11" s="7" t="n">
        <v>2</v>
      </c>
      <c r="C11" s="7" t="s">
        <v>433</v>
      </c>
      <c r="D11" s="7" t="s">
        <v>434</v>
      </c>
    </row>
    <row r="12" customFormat="false" ht="23.85" hidden="false" customHeight="false" outlineLevel="0" collapsed="false">
      <c r="A12" s="7" t="s">
        <v>286</v>
      </c>
      <c r="B12" s="7" t="n">
        <v>2</v>
      </c>
      <c r="C12" s="7" t="s">
        <v>435</v>
      </c>
      <c r="D12" s="7" t="s">
        <v>436</v>
      </c>
    </row>
    <row r="13" customFormat="false" ht="15" hidden="false" customHeight="false" outlineLevel="0" collapsed="false">
      <c r="A13" s="7" t="s">
        <v>287</v>
      </c>
      <c r="B13" s="7" t="n">
        <v>4</v>
      </c>
      <c r="C13" s="7" t="s">
        <v>437</v>
      </c>
      <c r="D13" s="7" t="s">
        <v>438</v>
      </c>
    </row>
    <row r="14" customFormat="false" ht="23.85" hidden="false" customHeight="false" outlineLevel="0" collapsed="false">
      <c r="A14" s="7" t="s">
        <v>288</v>
      </c>
      <c r="B14" s="7" t="n">
        <v>2</v>
      </c>
      <c r="C14" s="7" t="s">
        <v>439</v>
      </c>
      <c r="D14" s="7" t="s">
        <v>440</v>
      </c>
    </row>
    <row r="15" customFormat="false" ht="15" hidden="false" customHeight="false" outlineLevel="0" collapsed="false">
      <c r="A15" s="7" t="s">
        <v>289</v>
      </c>
      <c r="B15" s="7" t="n">
        <v>2</v>
      </c>
      <c r="C15" s="7" t="s">
        <v>441</v>
      </c>
      <c r="D15" s="7" t="s">
        <v>442</v>
      </c>
    </row>
    <row r="16" customFormat="false" ht="15" hidden="false" customHeight="false" outlineLevel="0" collapsed="false">
      <c r="A16" s="7" t="s">
        <v>290</v>
      </c>
      <c r="B16" s="7" t="n">
        <v>2</v>
      </c>
      <c r="C16" s="7" t="s">
        <v>443</v>
      </c>
      <c r="D16" s="7" t="s">
        <v>444</v>
      </c>
    </row>
    <row r="17" customFormat="false" ht="23.85" hidden="false" customHeight="false" outlineLevel="0" collapsed="false">
      <c r="A17" s="7" t="s">
        <v>291</v>
      </c>
      <c r="B17" s="7" t="n">
        <v>4</v>
      </c>
      <c r="C17" s="7" t="s">
        <v>445</v>
      </c>
      <c r="D17" s="7" t="s">
        <v>446</v>
      </c>
    </row>
    <row r="18" customFormat="false" ht="23.85" hidden="false" customHeight="false" outlineLevel="0" collapsed="false">
      <c r="A18" s="7" t="s">
        <v>292</v>
      </c>
      <c r="B18" s="7" t="n">
        <v>2</v>
      </c>
      <c r="C18" s="7" t="s">
        <v>447</v>
      </c>
      <c r="D18" s="7" t="s">
        <v>448</v>
      </c>
    </row>
    <row r="19" customFormat="false" ht="15" hidden="false" customHeight="false" outlineLevel="0" collapsed="false">
      <c r="A19" s="12" t="s">
        <v>449</v>
      </c>
      <c r="B19" s="12" t="n">
        <f aca="false">SUM(B4:B18)</f>
        <v>40</v>
      </c>
      <c r="C19" s="2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2026-10-28T09:03:44Z</dcterms:created>
  <dc:creator>openpyxl</dc:creator>
  <dc:description/>
  <dc:language>en-US</dc:language>
  <cp:lastModifiedBy/>
  <dcterms:modified xsi:type="dcterms:W3CDTF">2026-10-28T09:03:44Z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